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tient Demographics" sheetId="1" state="visible" r:id="rId3"/>
    <sheet name="Medical Records" sheetId="2" state="visible" r:id="rId4"/>
    <sheet name="Lab Results" sheetId="3" state="visible" r:id="rId5"/>
    <sheet name="Summary 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<sst xmlns="http://schemas.openxmlformats.org/spreadsheetml/2006/main" count="1363" uniqueCount="667">
  <si>
    <t xml:space="preserve">🏥  PATIENT DEMOGRAPHICS DATABASE — SYNTHETIC DATA ONLY</t>
  </si>
  <si>
    <t xml:space="preserve">Patient ID</t>
  </si>
  <si>
    <t xml:space="preserve">First Name</t>
  </si>
  <si>
    <t xml:space="preserve">Last Name</t>
  </si>
  <si>
    <t xml:space="preserve">DOB</t>
  </si>
  <si>
    <t xml:space="preserve">Age</t>
  </si>
  <si>
    <t xml:space="preserve">Gender</t>
  </si>
  <si>
    <t xml:space="preserve">Blood Type</t>
  </si>
  <si>
    <t xml:space="preserve">Phone</t>
  </si>
  <si>
    <t xml:space="preserve">Email</t>
  </si>
  <si>
    <t xml:space="preserve">Address</t>
  </si>
  <si>
    <t xml:space="preserve">City</t>
  </si>
  <si>
    <t xml:space="preserve">Insurance ID</t>
  </si>
  <si>
    <t xml:space="preserve">GP Name</t>
  </si>
  <si>
    <t xml:space="preserve">PT-0001</t>
  </si>
  <si>
    <t xml:space="preserve">James</t>
  </si>
  <si>
    <t xml:space="preserve">Rodriguez</t>
  </si>
  <si>
    <t xml:space="preserve">1960-04-05</t>
  </si>
  <si>
    <t xml:space="preserve">Male</t>
  </si>
  <si>
    <t xml:space="preserve">A-</t>
  </si>
  <si>
    <t xml:space="preserve">+46 70 195 37 39</t>
  </si>
  <si>
    <t xml:space="preserve">james.rodriguez65@email.se</t>
  </si>
  <si>
    <t xml:space="preserve">155 Storgatan 5</t>
  </si>
  <si>
    <t xml:space="preserve">Norrköping</t>
  </si>
  <si>
    <t xml:space="preserve">SE-INS-719176</t>
  </si>
  <si>
    <t xml:space="preserve">Dr. Maria Lindström</t>
  </si>
  <si>
    <t xml:space="preserve">PT-0002</t>
  </si>
  <si>
    <t xml:space="preserve">Alexander</t>
  </si>
  <si>
    <t xml:space="preserve">Walker</t>
  </si>
  <si>
    <t xml:space="preserve">1971-04-15</t>
  </si>
  <si>
    <t xml:space="preserve">AB+</t>
  </si>
  <si>
    <t xml:space="preserve">+46 74 259 37 53</t>
  </si>
  <si>
    <t xml:space="preserve">alexander.walker14@email.se</t>
  </si>
  <si>
    <t xml:space="preserve">24 Drottninggatan 1</t>
  </si>
  <si>
    <t xml:space="preserve">Stockholm</t>
  </si>
  <si>
    <t xml:space="preserve">NO-INS-832052</t>
  </si>
  <si>
    <t xml:space="preserve">Dr. Maria Björk</t>
  </si>
  <si>
    <t xml:space="preserve">PT-0003</t>
  </si>
  <si>
    <t xml:space="preserve">Mila</t>
  </si>
  <si>
    <t xml:space="preserve">Taylor</t>
  </si>
  <si>
    <t xml:space="preserve">1983-05-26</t>
  </si>
  <si>
    <t xml:space="preserve">Female</t>
  </si>
  <si>
    <t xml:space="preserve">A+</t>
  </si>
  <si>
    <t xml:space="preserve">+46 79 982 56 83</t>
  </si>
  <si>
    <t xml:space="preserve">mila.taylor25@email.se</t>
  </si>
  <si>
    <t xml:space="preserve">181 Storgatan 1</t>
  </si>
  <si>
    <t xml:space="preserve">Helsingborg</t>
  </si>
  <si>
    <t xml:space="preserve">SE-INS-496922</t>
  </si>
  <si>
    <t xml:space="preserve">Dr. Erik Petersson</t>
  </si>
  <si>
    <t xml:space="preserve">PT-0004</t>
  </si>
  <si>
    <t xml:space="preserve">Michael</t>
  </si>
  <si>
    <t xml:space="preserve">Wilson</t>
  </si>
  <si>
    <t xml:space="preserve">1950-04-28</t>
  </si>
  <si>
    <t xml:space="preserve">+46 75 463 36 95</t>
  </si>
  <si>
    <t xml:space="preserve">michael.wilson35@email.se</t>
  </si>
  <si>
    <t xml:space="preserve">180 Storgatan 5</t>
  </si>
  <si>
    <t xml:space="preserve">Västerås</t>
  </si>
  <si>
    <t xml:space="preserve">DK-INS-575435</t>
  </si>
  <si>
    <t xml:space="preserve">Dr. Johan Andersson</t>
  </si>
  <si>
    <t xml:space="preserve">PT-0005</t>
  </si>
  <si>
    <t xml:space="preserve">Logan</t>
  </si>
  <si>
    <t xml:space="preserve">Davis</t>
  </si>
  <si>
    <t xml:space="preserve">1955-08-13</t>
  </si>
  <si>
    <t xml:space="preserve">+46 73 941 14 50</t>
  </si>
  <si>
    <t xml:space="preserve">logan.davis52@email.se</t>
  </si>
  <si>
    <t xml:space="preserve">69 Storgatan 2</t>
  </si>
  <si>
    <t xml:space="preserve">NO-INS-817870</t>
  </si>
  <si>
    <t xml:space="preserve">Dr. Johan Lindström</t>
  </si>
  <si>
    <t xml:space="preserve">PT-0006</t>
  </si>
  <si>
    <t xml:space="preserve">Ava</t>
  </si>
  <si>
    <t xml:space="preserve">Lewis</t>
  </si>
  <si>
    <t xml:space="preserve">1970-11-15</t>
  </si>
  <si>
    <t xml:space="preserve">B+</t>
  </si>
  <si>
    <t xml:space="preserve">+46 79 508 56 38</t>
  </si>
  <si>
    <t xml:space="preserve">ava.lewis18@email.se</t>
  </si>
  <si>
    <t xml:space="preserve">131 Drottninggatan 1</t>
  </si>
  <si>
    <t xml:space="preserve">Linköping</t>
  </si>
  <si>
    <t xml:space="preserve">NO-INS-358607</t>
  </si>
  <si>
    <t xml:space="preserve">Dr. Karin Holm</t>
  </si>
  <si>
    <t xml:space="preserve">PT-0007</t>
  </si>
  <si>
    <t xml:space="preserve">Daniel</t>
  </si>
  <si>
    <t xml:space="preserve">Brown</t>
  </si>
  <si>
    <t xml:space="preserve">1954-11-06</t>
  </si>
  <si>
    <t xml:space="preserve">O+</t>
  </si>
  <si>
    <t xml:space="preserve">+46 78 357 80 11</t>
  </si>
  <si>
    <t xml:space="preserve">daniel.brown88@email.se</t>
  </si>
  <si>
    <t xml:space="preserve">185 Storgatan 5</t>
  </si>
  <si>
    <t xml:space="preserve">Jönköping</t>
  </si>
  <si>
    <t xml:space="preserve">SE-INS-503457</t>
  </si>
  <si>
    <t xml:space="preserve">Dr. Maria Lund</t>
  </si>
  <si>
    <t xml:space="preserve">PT-0008</t>
  </si>
  <si>
    <t xml:space="preserve">Elizabeth</t>
  </si>
  <si>
    <t xml:space="preserve">Lee</t>
  </si>
  <si>
    <t xml:space="preserve">1952-05-14</t>
  </si>
  <si>
    <t xml:space="preserve">+46 78 208 90 48</t>
  </si>
  <si>
    <t xml:space="preserve">elizabeth.lee82@email.se</t>
  </si>
  <si>
    <t xml:space="preserve">130 Torggatan 2</t>
  </si>
  <si>
    <t xml:space="preserve">SE-INS-857168</t>
  </si>
  <si>
    <t xml:space="preserve">Dr. Karin Andersson</t>
  </si>
  <si>
    <t xml:space="preserve">PT-0009</t>
  </si>
  <si>
    <t xml:space="preserve">Lucas</t>
  </si>
  <si>
    <t xml:space="preserve">Garcia</t>
  </si>
  <si>
    <t xml:space="preserve">1979-09-01</t>
  </si>
  <si>
    <t xml:space="preserve">AB-</t>
  </si>
  <si>
    <t xml:space="preserve">+46 73 159 40 82</t>
  </si>
  <si>
    <t xml:space="preserve">lucas.garcia11@email.se</t>
  </si>
  <si>
    <t xml:space="preserve">22 Drottninggatan 1</t>
  </si>
  <si>
    <t xml:space="preserve">SE-INS-217301</t>
  </si>
  <si>
    <t xml:space="preserve">Dr. Johan Petersson</t>
  </si>
  <si>
    <t xml:space="preserve">PT-0010</t>
  </si>
  <si>
    <t xml:space="preserve">William</t>
  </si>
  <si>
    <t xml:space="preserve">2005-09-06</t>
  </si>
  <si>
    <t xml:space="preserve">+46 76 787 93 57</t>
  </si>
  <si>
    <t xml:space="preserve">william.lewis57@email.se</t>
  </si>
  <si>
    <t xml:space="preserve">133 Drottninggatan 1</t>
  </si>
  <si>
    <t xml:space="preserve">FI-INS-322086</t>
  </si>
  <si>
    <t xml:space="preserve">Dr. Lars Petersson</t>
  </si>
  <si>
    <t xml:space="preserve">PT-0011</t>
  </si>
  <si>
    <t xml:space="preserve">Noah</t>
  </si>
  <si>
    <t xml:space="preserve">Williams</t>
  </si>
  <si>
    <t xml:space="preserve">1966-01-19</t>
  </si>
  <si>
    <t xml:space="preserve">B-</t>
  </si>
  <si>
    <t xml:space="preserve">+46 73 169 14 52</t>
  </si>
  <si>
    <t xml:space="preserve">noah.williams10@email.se</t>
  </si>
  <si>
    <t xml:space="preserve">132 Kungsgatan 3</t>
  </si>
  <si>
    <t xml:space="preserve">NO-INS-107540</t>
  </si>
  <si>
    <t xml:space="preserve">Dr. Erik Lindström</t>
  </si>
  <si>
    <t xml:space="preserve">PT-0012</t>
  </si>
  <si>
    <t xml:space="preserve">1953-12-19</t>
  </si>
  <si>
    <t xml:space="preserve">O-</t>
  </si>
  <si>
    <t xml:space="preserve">+46 71 199 94 65</t>
  </si>
  <si>
    <t xml:space="preserve">ava.walker46@email.se</t>
  </si>
  <si>
    <t xml:space="preserve">109 Drottninggatan 4</t>
  </si>
  <si>
    <t xml:space="preserve">Uppsala</t>
  </si>
  <si>
    <t xml:space="preserve">FI-INS-946721</t>
  </si>
  <si>
    <t xml:space="preserve">Dr. Maria Svensson</t>
  </si>
  <si>
    <t xml:space="preserve">PT-0013</t>
  </si>
  <si>
    <t xml:space="preserve">Elijah</t>
  </si>
  <si>
    <t xml:space="preserve">1948-07-24</t>
  </si>
  <si>
    <t xml:space="preserve">+46 72 532 33 45</t>
  </si>
  <si>
    <t xml:space="preserve">elijah.brown60@email.se</t>
  </si>
  <si>
    <t xml:space="preserve">64 Storgatan 4</t>
  </si>
  <si>
    <t xml:space="preserve">Gothenburg</t>
  </si>
  <si>
    <t xml:space="preserve">NO-INS-300896</t>
  </si>
  <si>
    <t xml:space="preserve">Dr. Lars Lund</t>
  </si>
  <si>
    <t xml:space="preserve">PT-0014</t>
  </si>
  <si>
    <t xml:space="preserve">1998-01-03</t>
  </si>
  <si>
    <t xml:space="preserve">+46 76 160 31 58</t>
  </si>
  <si>
    <t xml:space="preserve">james.walker1@email.se</t>
  </si>
  <si>
    <t xml:space="preserve">100 Vasagatan 4</t>
  </si>
  <si>
    <t xml:space="preserve">Malmö</t>
  </si>
  <si>
    <t xml:space="preserve">FI-INS-609231</t>
  </si>
  <si>
    <t xml:space="preserve">Dr. Peter Svensson</t>
  </si>
  <si>
    <t xml:space="preserve">PT-0015</t>
  </si>
  <si>
    <t xml:space="preserve">Charlotte</t>
  </si>
  <si>
    <t xml:space="preserve">1987-12-16</t>
  </si>
  <si>
    <t xml:space="preserve">+46 75 158 16 84</t>
  </si>
  <si>
    <t xml:space="preserve">charlotte.walker62@email.se</t>
  </si>
  <si>
    <t xml:space="preserve">129 Torggatan 2</t>
  </si>
  <si>
    <t xml:space="preserve">DK-INS-328275</t>
  </si>
  <si>
    <t xml:space="preserve">Dr. Anna Lindström</t>
  </si>
  <si>
    <t xml:space="preserve">PT-0016</t>
  </si>
  <si>
    <t xml:space="preserve">1999-03-03</t>
  </si>
  <si>
    <t xml:space="preserve">+46 79 183 63 94</t>
  </si>
  <si>
    <t xml:space="preserve">logan.williams75@email.se</t>
  </si>
  <si>
    <t xml:space="preserve">145 Torggatan 3</t>
  </si>
  <si>
    <t xml:space="preserve">FI-INS-225710</t>
  </si>
  <si>
    <t xml:space="preserve">Dr. Lars Lindström</t>
  </si>
  <si>
    <t xml:space="preserve">PT-0017</t>
  </si>
  <si>
    <t xml:space="preserve">1960-05-13</t>
  </si>
  <si>
    <t xml:space="preserve">+46 77 736 82 22</t>
  </si>
  <si>
    <t xml:space="preserve">ava.lee10@email.se</t>
  </si>
  <si>
    <t xml:space="preserve">138 Kungsgatan 5</t>
  </si>
  <si>
    <t xml:space="preserve">FI-INS-431535</t>
  </si>
  <si>
    <t xml:space="preserve">PT-0018</t>
  </si>
  <si>
    <t xml:space="preserve">Olivia</t>
  </si>
  <si>
    <t xml:space="preserve">2001-02-08</t>
  </si>
  <si>
    <t xml:space="preserve">+46 78 406 94 23</t>
  </si>
  <si>
    <t xml:space="preserve">olivia.taylor18@email.se</t>
  </si>
  <si>
    <t xml:space="preserve">68 Storgatan 1</t>
  </si>
  <si>
    <t xml:space="preserve">NO-INS-559469</t>
  </si>
  <si>
    <t xml:space="preserve">Dr. Karin Lindström</t>
  </si>
  <si>
    <t xml:space="preserve">PT-0019</t>
  </si>
  <si>
    <t xml:space="preserve">Ethan</t>
  </si>
  <si>
    <t xml:space="preserve">1983-04-23</t>
  </si>
  <si>
    <t xml:space="preserve">+46 70 194 91 64</t>
  </si>
  <si>
    <t xml:space="preserve">ethan.wilson36@email.se</t>
  </si>
  <si>
    <t xml:space="preserve">12 Storgatan 3</t>
  </si>
  <si>
    <t xml:space="preserve">DK-INS-629959</t>
  </si>
  <si>
    <t xml:space="preserve">Dr. Peter Petersson</t>
  </si>
  <si>
    <t xml:space="preserve">PT-0020</t>
  </si>
  <si>
    <t xml:space="preserve">1955-12-15</t>
  </si>
  <si>
    <t xml:space="preserve">+46 78 136 57 84</t>
  </si>
  <si>
    <t xml:space="preserve">elijah.rodriguez71@email.se</t>
  </si>
  <si>
    <t xml:space="preserve">38 Drottninggatan 2</t>
  </si>
  <si>
    <t xml:space="preserve">SE-INS-217308</t>
  </si>
  <si>
    <t xml:space="preserve">Dr. Erik Andersson</t>
  </si>
  <si>
    <t xml:space="preserve">PT-0021</t>
  </si>
  <si>
    <t xml:space="preserve">2002-01-12</t>
  </si>
  <si>
    <t xml:space="preserve">+46 73 985 30 32</t>
  </si>
  <si>
    <t xml:space="preserve">ethan.taylor53@email.se</t>
  </si>
  <si>
    <t xml:space="preserve">7 Kungsgatan 3</t>
  </si>
  <si>
    <t xml:space="preserve">SE-INS-470858</t>
  </si>
  <si>
    <t xml:space="preserve">Dr. Maria Andersson</t>
  </si>
  <si>
    <t xml:space="preserve">PT-0022</t>
  </si>
  <si>
    <t xml:space="preserve">1962-03-26</t>
  </si>
  <si>
    <t xml:space="preserve">+46 77 458 49 39</t>
  </si>
  <si>
    <t xml:space="preserve">elizabeth.davis29@email.se</t>
  </si>
  <si>
    <t xml:space="preserve">7 Kungsgatan 4</t>
  </si>
  <si>
    <t xml:space="preserve">SE-INS-593554</t>
  </si>
  <si>
    <t xml:space="preserve">Dr. Lars Svensson</t>
  </si>
  <si>
    <t xml:space="preserve">PT-0023</t>
  </si>
  <si>
    <t xml:space="preserve">Isabella</t>
  </si>
  <si>
    <t xml:space="preserve">1994-05-12</t>
  </si>
  <si>
    <t xml:space="preserve">+46 72 694 43 14</t>
  </si>
  <si>
    <t xml:space="preserve">isabella.williams14@email.se</t>
  </si>
  <si>
    <t xml:space="preserve">153 Drottninggatan 3</t>
  </si>
  <si>
    <t xml:space="preserve">DK-INS-128941</t>
  </si>
  <si>
    <t xml:space="preserve">PT-0024</t>
  </si>
  <si>
    <t xml:space="preserve">Allen</t>
  </si>
  <si>
    <t xml:space="preserve">1977-02-13</t>
  </si>
  <si>
    <t xml:space="preserve">+46 78 925 78 97</t>
  </si>
  <si>
    <t xml:space="preserve">charlotte.allen93@email.se</t>
  </si>
  <si>
    <t xml:space="preserve">190 Kungsgatan 3</t>
  </si>
  <si>
    <t xml:space="preserve">SE-INS-843215</t>
  </si>
  <si>
    <t xml:space="preserve">PT-0025</t>
  </si>
  <si>
    <t xml:space="preserve">Sophia</t>
  </si>
  <si>
    <t xml:space="preserve">1984-06-22</t>
  </si>
  <si>
    <t xml:space="preserve">+46 76 813 47 80</t>
  </si>
  <si>
    <t xml:space="preserve">sophia.lee17@email.se</t>
  </si>
  <si>
    <t xml:space="preserve">50 Drottninggatan 4</t>
  </si>
  <si>
    <t xml:space="preserve">DK-INS-799287</t>
  </si>
  <si>
    <t xml:space="preserve">PT-0026</t>
  </si>
  <si>
    <t xml:space="preserve">Benjamin</t>
  </si>
  <si>
    <t xml:space="preserve">Hall</t>
  </si>
  <si>
    <t xml:space="preserve">1964-07-18</t>
  </si>
  <si>
    <t xml:space="preserve">+46 77 552 66 96</t>
  </si>
  <si>
    <t xml:space="preserve">benjamin.hall28@email.se</t>
  </si>
  <si>
    <t xml:space="preserve">131 Drottninggatan 2</t>
  </si>
  <si>
    <t xml:space="preserve">DK-INS-320392</t>
  </si>
  <si>
    <t xml:space="preserve">PT-0027</t>
  </si>
  <si>
    <t xml:space="preserve">Robinson</t>
  </si>
  <si>
    <t xml:space="preserve">1987-11-20</t>
  </si>
  <si>
    <t xml:space="preserve">+46 73 250 13 15</t>
  </si>
  <si>
    <t xml:space="preserve">ethan.robinson32@email.se</t>
  </si>
  <si>
    <t xml:space="preserve">122 Torggatan 1</t>
  </si>
  <si>
    <t xml:space="preserve">NO-INS-805477</t>
  </si>
  <si>
    <t xml:space="preserve">Dr. Karin Svensson</t>
  </si>
  <si>
    <t xml:space="preserve">PT-0028</t>
  </si>
  <si>
    <t xml:space="preserve">1957-12-23</t>
  </si>
  <si>
    <t xml:space="preserve">+46 71 897 64 38</t>
  </si>
  <si>
    <t xml:space="preserve">charlotte.hall23@email.se</t>
  </si>
  <si>
    <t xml:space="preserve">179 Torggatan 4</t>
  </si>
  <si>
    <t xml:space="preserve">FI-INS-355836</t>
  </si>
  <si>
    <t xml:space="preserve">Dr. Sara Lindström</t>
  </si>
  <si>
    <t xml:space="preserve">PT-0029</t>
  </si>
  <si>
    <t xml:space="preserve">2003-02-15</t>
  </si>
  <si>
    <t xml:space="preserve">+46 78 556 30 70</t>
  </si>
  <si>
    <t xml:space="preserve">logan.davis58@email.se</t>
  </si>
  <si>
    <t xml:space="preserve">67 Kungsgatan 3</t>
  </si>
  <si>
    <t xml:space="preserve">DK-INS-891937</t>
  </si>
  <si>
    <t xml:space="preserve">Dr. Peter Holm</t>
  </si>
  <si>
    <t xml:space="preserve">PT-0030</t>
  </si>
  <si>
    <t xml:space="preserve">Abigail</t>
  </si>
  <si>
    <t xml:space="preserve">1962-08-03</t>
  </si>
  <si>
    <t xml:space="preserve">+46 72 254 39 59</t>
  </si>
  <si>
    <t xml:space="preserve">abigail.davis89@email.se</t>
  </si>
  <si>
    <t xml:space="preserve">40 Kungsgatan 1</t>
  </si>
  <si>
    <t xml:space="preserve">DK-INS-452161</t>
  </si>
  <si>
    <t xml:space="preserve">Dr. Johan Karlsson</t>
  </si>
  <si>
    <t xml:space="preserve">PT-0031</t>
  </si>
  <si>
    <t xml:space="preserve">1979-08-14</t>
  </si>
  <si>
    <t xml:space="preserve">+46 77 106 55 48</t>
  </si>
  <si>
    <t xml:space="preserve">charlotte.lee97@email.se</t>
  </si>
  <si>
    <t xml:space="preserve">100 Drottninggatan 5</t>
  </si>
  <si>
    <t xml:space="preserve">FI-INS-508396</t>
  </si>
  <si>
    <t xml:space="preserve">Dr. Anna Holm</t>
  </si>
  <si>
    <t xml:space="preserve">PT-0032</t>
  </si>
  <si>
    <t xml:space="preserve">Mason</t>
  </si>
  <si>
    <t xml:space="preserve">1962-07-16</t>
  </si>
  <si>
    <t xml:space="preserve">+46 77 230 89 78</t>
  </si>
  <si>
    <t xml:space="preserve">mason.davis4@email.se</t>
  </si>
  <si>
    <t xml:space="preserve">101 Torggatan 5</t>
  </si>
  <si>
    <t xml:space="preserve">DK-INS-801364</t>
  </si>
  <si>
    <t xml:space="preserve">PT-0033</t>
  </si>
  <si>
    <t xml:space="preserve">Oliver</t>
  </si>
  <si>
    <t xml:space="preserve">Harris</t>
  </si>
  <si>
    <t xml:space="preserve">1953-08-06</t>
  </si>
  <si>
    <t xml:space="preserve">+46 75 445 58 45</t>
  </si>
  <si>
    <t xml:space="preserve">oliver.harris97@email.se</t>
  </si>
  <si>
    <t xml:space="preserve">108 Vasagatan 1</t>
  </si>
  <si>
    <t xml:space="preserve">FI-INS-443254</t>
  </si>
  <si>
    <t xml:space="preserve">PT-0034</t>
  </si>
  <si>
    <t xml:space="preserve">Emma</t>
  </si>
  <si>
    <t xml:space="preserve">1948-06-08</t>
  </si>
  <si>
    <t xml:space="preserve">+46 79 256 40 26</t>
  </si>
  <si>
    <t xml:space="preserve">emma.walker61@email.se</t>
  </si>
  <si>
    <t xml:space="preserve">172 Storgatan 5</t>
  </si>
  <si>
    <t xml:space="preserve">SE-INS-359295</t>
  </si>
  <si>
    <t xml:space="preserve">PT-0035</t>
  </si>
  <si>
    <t xml:space="preserve">1994-06-06</t>
  </si>
  <si>
    <t xml:space="preserve">+46 79 793 58 60</t>
  </si>
  <si>
    <t xml:space="preserve">mason.rodriguez92@email.se</t>
  </si>
  <si>
    <t xml:space="preserve">51 Storgatan 5</t>
  </si>
  <si>
    <t xml:space="preserve">DK-INS-213349</t>
  </si>
  <si>
    <t xml:space="preserve">Dr. Anna Petersson</t>
  </si>
  <si>
    <t xml:space="preserve">PT-0036</t>
  </si>
  <si>
    <t xml:space="preserve">1999-11-20</t>
  </si>
  <si>
    <t xml:space="preserve">+46 71 618 92 53</t>
  </si>
  <si>
    <t xml:space="preserve">oliver.wilson2@email.se</t>
  </si>
  <si>
    <t xml:space="preserve">108 Drottninggatan 1</t>
  </si>
  <si>
    <t xml:space="preserve">SE-INS-464069</t>
  </si>
  <si>
    <t xml:space="preserve">PT-0037</t>
  </si>
  <si>
    <t xml:space="preserve">Mia</t>
  </si>
  <si>
    <t xml:space="preserve">Clark</t>
  </si>
  <si>
    <t xml:space="preserve">1990-03-14</t>
  </si>
  <si>
    <t xml:space="preserve">+46 76 945 85 44</t>
  </si>
  <si>
    <t xml:space="preserve">mia.clark42@email.se</t>
  </si>
  <si>
    <t xml:space="preserve">63 Storgatan 3</t>
  </si>
  <si>
    <t xml:space="preserve">DK-INS-745830</t>
  </si>
  <si>
    <t xml:space="preserve">Dr. Peter Lund</t>
  </si>
  <si>
    <t xml:space="preserve">PT-0038</t>
  </si>
  <si>
    <t xml:space="preserve">1981-10-22</t>
  </si>
  <si>
    <t xml:space="preserve">+46 77 317 55 43</t>
  </si>
  <si>
    <t xml:space="preserve">ava.clark44@email.se</t>
  </si>
  <si>
    <t xml:space="preserve">72 Torggatan 3</t>
  </si>
  <si>
    <t xml:space="preserve">Örebro</t>
  </si>
  <si>
    <t xml:space="preserve">SE-INS-618317</t>
  </si>
  <si>
    <t xml:space="preserve">PT-0039</t>
  </si>
  <si>
    <t xml:space="preserve">Martinez</t>
  </si>
  <si>
    <t xml:space="preserve">1950-04-24</t>
  </si>
  <si>
    <t xml:space="preserve">+46 77 911 12 21</t>
  </si>
  <si>
    <t xml:space="preserve">logan.martinez38@email.se</t>
  </si>
  <si>
    <t xml:space="preserve">57 Drottninggatan 2</t>
  </si>
  <si>
    <t xml:space="preserve">NO-INS-824156</t>
  </si>
  <si>
    <t xml:space="preserve">PT-0040</t>
  </si>
  <si>
    <t xml:space="preserve">1968-08-18</t>
  </si>
  <si>
    <t xml:space="preserve">+46 74 357 39 25</t>
  </si>
  <si>
    <t xml:space="preserve">abigail.hall93@email.se</t>
  </si>
  <si>
    <t xml:space="preserve">50 Vasagatan 1</t>
  </si>
  <si>
    <t xml:space="preserve">DK-INS-468900</t>
  </si>
  <si>
    <t xml:space="preserve">PT-0041</t>
  </si>
  <si>
    <t xml:space="preserve">1992-08-09</t>
  </si>
  <si>
    <t xml:space="preserve">+46 72 409 11 78</t>
  </si>
  <si>
    <t xml:space="preserve">noah.martinez17@email.se</t>
  </si>
  <si>
    <t xml:space="preserve">71 Storgatan 1</t>
  </si>
  <si>
    <t xml:space="preserve">NO-INS-410636</t>
  </si>
  <si>
    <t xml:space="preserve">Dr. Lars Björk</t>
  </si>
  <si>
    <t xml:space="preserve">PT-0042</t>
  </si>
  <si>
    <t xml:space="preserve">Emily</t>
  </si>
  <si>
    <t xml:space="preserve">Jones</t>
  </si>
  <si>
    <t xml:space="preserve">1985-08-04</t>
  </si>
  <si>
    <t xml:space="preserve">+46 75 288 16 42</t>
  </si>
  <si>
    <t xml:space="preserve">emily.jones62@email.se</t>
  </si>
  <si>
    <t xml:space="preserve">30 Storgatan 4</t>
  </si>
  <si>
    <t xml:space="preserve">DK-INS-592198</t>
  </si>
  <si>
    <t xml:space="preserve">PT-0043</t>
  </si>
  <si>
    <t xml:space="preserve">1985-11-02</t>
  </si>
  <si>
    <t xml:space="preserve">+46 78 882 63 87</t>
  </si>
  <si>
    <t xml:space="preserve">sophia.hall77@email.se</t>
  </si>
  <si>
    <t xml:space="preserve">159 Kungsgatan 5</t>
  </si>
  <si>
    <t xml:space="preserve">DK-INS-189318</t>
  </si>
  <si>
    <t xml:space="preserve">Dr. Lars Karlsson</t>
  </si>
  <si>
    <t xml:space="preserve">PT-0044</t>
  </si>
  <si>
    <t xml:space="preserve">Amelia</t>
  </si>
  <si>
    <t xml:space="preserve">1964-10-14</t>
  </si>
  <si>
    <t xml:space="preserve">+46 73 370 94 20</t>
  </si>
  <si>
    <t xml:space="preserve">amelia.clark21@email.se</t>
  </si>
  <si>
    <t xml:space="preserve">62 Kungsgatan 5</t>
  </si>
  <si>
    <t xml:space="preserve">SE-INS-739244</t>
  </si>
  <si>
    <t xml:space="preserve">Dr. Erik Svensson</t>
  </si>
  <si>
    <t xml:space="preserve">PT-0045</t>
  </si>
  <si>
    <t xml:space="preserve">Anderson</t>
  </si>
  <si>
    <t xml:space="preserve">1971-08-23</t>
  </si>
  <si>
    <t xml:space="preserve">+46 77 172 97 39</t>
  </si>
  <si>
    <t xml:space="preserve">william.anderson34@email.se</t>
  </si>
  <si>
    <t xml:space="preserve">161 Torggatan 2</t>
  </si>
  <si>
    <t xml:space="preserve">SE-INS-342720</t>
  </si>
  <si>
    <t xml:space="preserve">Dr. Karin Petersson</t>
  </si>
  <si>
    <t xml:space="preserve">PT-0046</t>
  </si>
  <si>
    <t xml:space="preserve">1959-11-05</t>
  </si>
  <si>
    <t xml:space="preserve">+46 79 866 82 46</t>
  </si>
  <si>
    <t xml:space="preserve">sophia.walker57@email.se</t>
  </si>
  <si>
    <t xml:space="preserve">32 Drottninggatan 3</t>
  </si>
  <si>
    <t xml:space="preserve">SE-INS-162535</t>
  </si>
  <si>
    <t xml:space="preserve">Dr. Sara Petersson</t>
  </si>
  <si>
    <t xml:space="preserve">PT-0047</t>
  </si>
  <si>
    <t xml:space="preserve">1979-08-15</t>
  </si>
  <si>
    <t xml:space="preserve">+46 70 193 39 96</t>
  </si>
  <si>
    <t xml:space="preserve">isabella.robinson74@email.se</t>
  </si>
  <si>
    <t xml:space="preserve">151 Storgatan 3</t>
  </si>
  <si>
    <t xml:space="preserve">SE-INS-553014</t>
  </si>
  <si>
    <t xml:space="preserve">PT-0048</t>
  </si>
  <si>
    <t xml:space="preserve">1975-09-21</t>
  </si>
  <si>
    <t xml:space="preserve">+46 71 581 54 62</t>
  </si>
  <si>
    <t xml:space="preserve">michael.garcia43@email.se</t>
  </si>
  <si>
    <t xml:space="preserve">83 Storgatan 2</t>
  </si>
  <si>
    <t xml:space="preserve">NO-INS-713762</t>
  </si>
  <si>
    <t xml:space="preserve">PT-0049</t>
  </si>
  <si>
    <t xml:space="preserve">1963-11-13</t>
  </si>
  <si>
    <t xml:space="preserve">+46 71 891 61 75</t>
  </si>
  <si>
    <t xml:space="preserve">charlotte.lewis1@email.se</t>
  </si>
  <si>
    <t xml:space="preserve">169 Torggatan 4</t>
  </si>
  <si>
    <t xml:space="preserve">SE-INS-429795</t>
  </si>
  <si>
    <t xml:space="preserve">Dr. Karin Björk</t>
  </si>
  <si>
    <t xml:space="preserve">PT-0050</t>
  </si>
  <si>
    <t xml:space="preserve">1978-06-20</t>
  </si>
  <si>
    <t xml:space="preserve">+46 74 548 99 72</t>
  </si>
  <si>
    <t xml:space="preserve">emma.martinez16@email.se</t>
  </si>
  <si>
    <t xml:space="preserve">8 Torggatan 2</t>
  </si>
  <si>
    <t xml:space="preserve">SE-INS-313446</t>
  </si>
  <si>
    <t xml:space="preserve">🩺  MEDICAL RECORDS — SYNTHETIC DATA ONLY</t>
  </si>
  <si>
    <t xml:space="preserve">Visit Date</t>
  </si>
  <si>
    <t xml:space="preserve">Diagnosis</t>
  </si>
  <si>
    <t xml:space="preserve">Secondary Diagnosis</t>
  </si>
  <si>
    <t xml:space="preserve">Medication</t>
  </si>
  <si>
    <t xml:space="preserve">Dosage Frequency</t>
  </si>
  <si>
    <t xml:space="preserve">Allergies</t>
  </si>
  <si>
    <t xml:space="preserve">BP (mmHg)</t>
  </si>
  <si>
    <t xml:space="preserve">Heart Rate (bpm)</t>
  </si>
  <si>
    <t xml:space="preserve">BMI</t>
  </si>
  <si>
    <t xml:space="preserve">Status</t>
  </si>
  <si>
    <t xml:space="preserve">Treating Physician</t>
  </si>
  <si>
    <t xml:space="preserve">Notes</t>
  </si>
  <si>
    <t xml:space="preserve">2023-05-18</t>
  </si>
  <si>
    <t xml:space="preserve">Hypertension</t>
  </si>
  <si>
    <t xml:space="preserve">—</t>
  </si>
  <si>
    <t xml:space="preserve">Sertraline 50mg</t>
  </si>
  <si>
    <t xml:space="preserve">Once daily</t>
  </si>
  <si>
    <t xml:space="preserve">Aspirin</t>
  </si>
  <si>
    <t xml:space="preserve">117/79</t>
  </si>
  <si>
    <t xml:space="preserve">Resolved</t>
  </si>
  <si>
    <t xml:space="preserve">Medication adjusted</t>
  </si>
  <si>
    <t xml:space="preserve">2024-07-27</t>
  </si>
  <si>
    <t xml:space="preserve">Osteoarthritis</t>
  </si>
  <si>
    <t xml:space="preserve">Omeprazole 20mg</t>
  </si>
  <si>
    <t xml:space="preserve">Three times daily</t>
  </si>
  <si>
    <t xml:space="preserve">None</t>
  </si>
  <si>
    <t xml:space="preserve">119/77</t>
  </si>
  <si>
    <t xml:space="preserve">Under Review</t>
  </si>
  <si>
    <t xml:space="preserve">Dr. Sara Karlsson</t>
  </si>
  <si>
    <t xml:space="preserve">Lifestyle modification advised</t>
  </si>
  <si>
    <t xml:space="preserve">2025-06-26</t>
  </si>
  <si>
    <t xml:space="preserve">Depression</t>
  </si>
  <si>
    <t xml:space="preserve">Metformin 500mg</t>
  </si>
  <si>
    <t xml:space="preserve">As needed</t>
  </si>
  <si>
    <t xml:space="preserve">Latex</t>
  </si>
  <si>
    <t xml:space="preserve">147/83</t>
  </si>
  <si>
    <t xml:space="preserve">Lab results pending</t>
  </si>
  <si>
    <t xml:space="preserve">2024-09-25</t>
  </si>
  <si>
    <t xml:space="preserve">COPD</t>
  </si>
  <si>
    <t xml:space="preserve">Salbutamol inhaler</t>
  </si>
  <si>
    <t xml:space="preserve">154/72</t>
  </si>
  <si>
    <t xml:space="preserve">Stable</t>
  </si>
  <si>
    <t xml:space="preserve">Dr. Anna Björk</t>
  </si>
  <si>
    <t xml:space="preserve">Diet and exercise plan discussed</t>
  </si>
  <si>
    <t xml:space="preserve">2025-07-22</t>
  </si>
  <si>
    <t xml:space="preserve">Migraine</t>
  </si>
  <si>
    <t xml:space="preserve">Sulfa drugs</t>
  </si>
  <si>
    <t xml:space="preserve">142/95</t>
  </si>
  <si>
    <t xml:space="preserve">Active</t>
  </si>
  <si>
    <t xml:space="preserve">Dr. Peter Karlsson</t>
  </si>
  <si>
    <t xml:space="preserve">2025-01-24</t>
  </si>
  <si>
    <t xml:space="preserve">Asthma</t>
  </si>
  <si>
    <t xml:space="preserve">Anemia</t>
  </si>
  <si>
    <t xml:space="preserve">Metoprolol 25mg</t>
  </si>
  <si>
    <t xml:space="preserve">Twice daily</t>
  </si>
  <si>
    <t xml:space="preserve">Penicillin</t>
  </si>
  <si>
    <t xml:space="preserve">140/90</t>
  </si>
  <si>
    <t xml:space="preserve">Dr. Erik Björk</t>
  </si>
  <si>
    <t xml:space="preserve">2025-06-21</t>
  </si>
  <si>
    <t xml:space="preserve">Atrial Fibrillation</t>
  </si>
  <si>
    <t xml:space="preserve">Ibuprofen 400mg</t>
  </si>
  <si>
    <t xml:space="preserve">114/72</t>
  </si>
  <si>
    <t xml:space="preserve">Monitoring</t>
  </si>
  <si>
    <t xml:space="preserve">Blood pressure improving</t>
  </si>
  <si>
    <t xml:space="preserve">2022-11-23</t>
  </si>
  <si>
    <t xml:space="preserve">Chronic Back Pain</t>
  </si>
  <si>
    <t xml:space="preserve">111/66</t>
  </si>
  <si>
    <t xml:space="preserve">Dr. Johan Björk</t>
  </si>
  <si>
    <t xml:space="preserve">2023-04-17</t>
  </si>
  <si>
    <t xml:space="preserve">GERD</t>
  </si>
  <si>
    <t xml:space="preserve">Hypothyroidism</t>
  </si>
  <si>
    <t xml:space="preserve">Atorvastatin 20mg</t>
  </si>
  <si>
    <t xml:space="preserve">149/92</t>
  </si>
  <si>
    <t xml:space="preserve">Dr. Peter Andersson</t>
  </si>
  <si>
    <t xml:space="preserve">Patient responding well to treatment</t>
  </si>
  <si>
    <t xml:space="preserve">2025-11-09</t>
  </si>
  <si>
    <t xml:space="preserve">128/86</t>
  </si>
  <si>
    <t xml:space="preserve">2024-08-28</t>
  </si>
  <si>
    <t xml:space="preserve">125/77</t>
  </si>
  <si>
    <t xml:space="preserve">2024-01-19</t>
  </si>
  <si>
    <t xml:space="preserve">Type 2 Diabetes</t>
  </si>
  <si>
    <t xml:space="preserve">Paracetamol 500mg</t>
  </si>
  <si>
    <t xml:space="preserve">159/90</t>
  </si>
  <si>
    <t xml:space="preserve">Annual physical completed</t>
  </si>
  <si>
    <t xml:space="preserve">2024-11-25</t>
  </si>
  <si>
    <t xml:space="preserve">129/90</t>
  </si>
  <si>
    <t xml:space="preserve">2024-12-14</t>
  </si>
  <si>
    <t xml:space="preserve">142/94</t>
  </si>
  <si>
    <t xml:space="preserve">2022-08-03</t>
  </si>
  <si>
    <t xml:space="preserve">133/67</t>
  </si>
  <si>
    <t xml:space="preserve">Dr. Erik Lund</t>
  </si>
  <si>
    <t xml:space="preserve">2024-10-13</t>
  </si>
  <si>
    <t xml:space="preserve">Lisinopril 10mg</t>
  </si>
  <si>
    <t xml:space="preserve">111/84</t>
  </si>
  <si>
    <t xml:space="preserve">2024-11-14</t>
  </si>
  <si>
    <t xml:space="preserve">141/68</t>
  </si>
  <si>
    <t xml:space="preserve">Dr. Sara Holm</t>
  </si>
  <si>
    <t xml:space="preserve">2024-11-24</t>
  </si>
  <si>
    <t xml:space="preserve">151/68</t>
  </si>
  <si>
    <t xml:space="preserve">2025-08-08</t>
  </si>
  <si>
    <t xml:space="preserve">151/76</t>
  </si>
  <si>
    <t xml:space="preserve">Follow-up required in 3 months</t>
  </si>
  <si>
    <t xml:space="preserve">2023-11-21</t>
  </si>
  <si>
    <t xml:space="preserve">Anxiety Disorder</t>
  </si>
  <si>
    <t xml:space="preserve">118/90</t>
  </si>
  <si>
    <t xml:space="preserve">2024-03-26</t>
  </si>
  <si>
    <t xml:space="preserve">Sleep Apnea</t>
  </si>
  <si>
    <t xml:space="preserve">Levothyroxine 50mcg</t>
  </si>
  <si>
    <t xml:space="preserve">144/73</t>
  </si>
  <si>
    <t xml:space="preserve">2023-10-11</t>
  </si>
  <si>
    <t xml:space="preserve">157/78</t>
  </si>
  <si>
    <t xml:space="preserve">2022-08-17</t>
  </si>
  <si>
    <t xml:space="preserve">Furosemide 40mg</t>
  </si>
  <si>
    <t xml:space="preserve">151/95</t>
  </si>
  <si>
    <t xml:space="preserve">Dr. Maria Holm</t>
  </si>
  <si>
    <t xml:space="preserve">2025-12-15</t>
  </si>
  <si>
    <t xml:space="preserve">Amlodipine 5mg</t>
  </si>
  <si>
    <t xml:space="preserve">118/73</t>
  </si>
  <si>
    <t xml:space="preserve">Dr. Johan Holm</t>
  </si>
  <si>
    <t xml:space="preserve">2024-08-17</t>
  </si>
  <si>
    <t xml:space="preserve">156/92</t>
  </si>
  <si>
    <t xml:space="preserve">2025-07-24</t>
  </si>
  <si>
    <t xml:space="preserve">Hyperlipidemia</t>
  </si>
  <si>
    <t xml:space="preserve">133/95</t>
  </si>
  <si>
    <t xml:space="preserve">Dr. Erik Karlsson</t>
  </si>
  <si>
    <t xml:space="preserve">2022-07-04</t>
  </si>
  <si>
    <t xml:space="preserve">145/82</t>
  </si>
  <si>
    <t xml:space="preserve">Routine checkup, no concerns</t>
  </si>
  <si>
    <t xml:space="preserve">2024-10-10</t>
  </si>
  <si>
    <t xml:space="preserve">152/80</t>
  </si>
  <si>
    <t xml:space="preserve">2023-07-28</t>
  </si>
  <si>
    <t xml:space="preserve">121/73</t>
  </si>
  <si>
    <t xml:space="preserve">Referred to specialist</t>
  </si>
  <si>
    <t xml:space="preserve">2023-10-22</t>
  </si>
  <si>
    <t xml:space="preserve">157/81</t>
  </si>
  <si>
    <t xml:space="preserve">2024-12-11</t>
  </si>
  <si>
    <t xml:space="preserve">158/84</t>
  </si>
  <si>
    <t xml:space="preserve">2025-07-09</t>
  </si>
  <si>
    <t xml:space="preserve">117/74</t>
  </si>
  <si>
    <t xml:space="preserve">2025-10-02</t>
  </si>
  <si>
    <t xml:space="preserve">158/73</t>
  </si>
  <si>
    <t xml:space="preserve">2023-07-18</t>
  </si>
  <si>
    <t xml:space="preserve">135/92</t>
  </si>
  <si>
    <t xml:space="preserve">2025-10-13</t>
  </si>
  <si>
    <t xml:space="preserve">111/95</t>
  </si>
  <si>
    <t xml:space="preserve">Dr. Peter Björk</t>
  </si>
  <si>
    <t xml:space="preserve">2025-02-08</t>
  </si>
  <si>
    <t xml:space="preserve">129/88</t>
  </si>
  <si>
    <t xml:space="preserve">2023-06-12</t>
  </si>
  <si>
    <t xml:space="preserve">126/71</t>
  </si>
  <si>
    <t xml:space="preserve">Dr. Sara Lund</t>
  </si>
  <si>
    <t xml:space="preserve">2025-11-19</t>
  </si>
  <si>
    <t xml:space="preserve">138/67</t>
  </si>
  <si>
    <t xml:space="preserve">2022-05-15</t>
  </si>
  <si>
    <t xml:space="preserve">114/85</t>
  </si>
  <si>
    <t xml:space="preserve">2022-08-26</t>
  </si>
  <si>
    <t xml:space="preserve">119/95</t>
  </si>
  <si>
    <t xml:space="preserve">2023-12-15</t>
  </si>
  <si>
    <t xml:space="preserve">Shellfish</t>
  </si>
  <si>
    <t xml:space="preserve">133/94</t>
  </si>
  <si>
    <t xml:space="preserve">2024-02-18</t>
  </si>
  <si>
    <t xml:space="preserve">119/75</t>
  </si>
  <si>
    <t xml:space="preserve">2023-10-23</t>
  </si>
  <si>
    <t xml:space="preserve">118/86</t>
  </si>
  <si>
    <t xml:space="preserve">Dr. Erik Holm</t>
  </si>
  <si>
    <t xml:space="preserve">2024-01-12</t>
  </si>
  <si>
    <t xml:space="preserve">122/72</t>
  </si>
  <si>
    <t xml:space="preserve">2023-10-13</t>
  </si>
  <si>
    <t xml:space="preserve">112/78</t>
  </si>
  <si>
    <t xml:space="preserve">2023-09-08</t>
  </si>
  <si>
    <t xml:space="preserve">138/79</t>
  </si>
  <si>
    <t xml:space="preserve">2023-05-02</t>
  </si>
  <si>
    <t xml:space="preserve">2022-04-27</t>
  </si>
  <si>
    <t xml:space="preserve">135/81</t>
  </si>
  <si>
    <t xml:space="preserve">Dr. Johan Svensson</t>
  </si>
  <si>
    <t xml:space="preserve">2024-02-27</t>
  </si>
  <si>
    <t xml:space="preserve">128/94</t>
  </si>
  <si>
    <t xml:space="preserve">2022-02-01</t>
  </si>
  <si>
    <t xml:space="preserve">159/74</t>
  </si>
  <si>
    <t xml:space="preserve">Dr. Lars Holm</t>
  </si>
  <si>
    <t xml:space="preserve">🔬  LAB RESULTS — SYNTHETIC DATA ONLY</t>
  </si>
  <si>
    <t xml:space="preserve">Test Date</t>
  </si>
  <si>
    <t xml:space="preserve">Glucose (mg/dL)</t>
  </si>
  <si>
    <t xml:space="preserve">HbA1c (%)</t>
  </si>
  <si>
    <t xml:space="preserve">Total Cholesterol</t>
  </si>
  <si>
    <t xml:space="preserve">LDL</t>
  </si>
  <si>
    <t xml:space="preserve">HDL</t>
  </si>
  <si>
    <t xml:space="preserve">Triglycerides</t>
  </si>
  <si>
    <t xml:space="preserve">Hemoglobin</t>
  </si>
  <si>
    <t xml:space="preserve">WBC Count</t>
  </si>
  <si>
    <t xml:space="preserve">Platelets</t>
  </si>
  <si>
    <t xml:space="preserve">Creatinine</t>
  </si>
  <si>
    <t xml:space="preserve">TSH</t>
  </si>
  <si>
    <t xml:space="preserve">Result Flag</t>
  </si>
  <si>
    <t xml:space="preserve">2024-02-04</t>
  </si>
  <si>
    <t xml:space="preserve">Abnormal High</t>
  </si>
  <si>
    <t xml:space="preserve">2025-11-03</t>
  </si>
  <si>
    <t xml:space="preserve">2024-12-01</t>
  </si>
  <si>
    <t xml:space="preserve">Borderline</t>
  </si>
  <si>
    <t xml:space="preserve">2023-11-15</t>
  </si>
  <si>
    <t xml:space="preserve">2024-09-13</t>
  </si>
  <si>
    <t xml:space="preserve">2024-07-24</t>
  </si>
  <si>
    <t xml:space="preserve">2025-03-18</t>
  </si>
  <si>
    <t xml:space="preserve">2024-10-14</t>
  </si>
  <si>
    <t xml:space="preserve">2024-01-05</t>
  </si>
  <si>
    <t xml:space="preserve">2023-09-12</t>
  </si>
  <si>
    <t xml:space="preserve">2023-10-10</t>
  </si>
  <si>
    <t xml:space="preserve">2025-09-10</t>
  </si>
  <si>
    <t xml:space="preserve">2025-02-05</t>
  </si>
  <si>
    <t xml:space="preserve">2025-01-27</t>
  </si>
  <si>
    <t xml:space="preserve">Normal</t>
  </si>
  <si>
    <t xml:space="preserve">2025-05-05</t>
  </si>
  <si>
    <t xml:space="preserve">2023-02-02</t>
  </si>
  <si>
    <t xml:space="preserve">2024-04-26</t>
  </si>
  <si>
    <t xml:space="preserve">2025-06-13</t>
  </si>
  <si>
    <t xml:space="preserve">2024-04-28</t>
  </si>
  <si>
    <t xml:space="preserve">2024-09-15</t>
  </si>
  <si>
    <t xml:space="preserve">2023-05-24</t>
  </si>
  <si>
    <t xml:space="preserve">2025-11-20</t>
  </si>
  <si>
    <t xml:space="preserve">2023-03-23</t>
  </si>
  <si>
    <t xml:space="preserve">2025-09-16</t>
  </si>
  <si>
    <t xml:space="preserve">2025-10-19</t>
  </si>
  <si>
    <t xml:space="preserve">2023-04-01</t>
  </si>
  <si>
    <t xml:space="preserve">2025-06-22</t>
  </si>
  <si>
    <t xml:space="preserve">2024-05-04</t>
  </si>
  <si>
    <t xml:space="preserve">2024-12-16</t>
  </si>
  <si>
    <t xml:space="preserve">2025-04-02</t>
  </si>
  <si>
    <t xml:space="preserve">2024-06-10</t>
  </si>
  <si>
    <t xml:space="preserve">2023-07-26</t>
  </si>
  <si>
    <t xml:space="preserve">2024-10-22</t>
  </si>
  <si>
    <t xml:space="preserve">2023-01-09</t>
  </si>
  <si>
    <t xml:space="preserve">2024-03-13</t>
  </si>
  <si>
    <t xml:space="preserve">2023-08-24</t>
  </si>
  <si>
    <t xml:space="preserve">2024-02-19</t>
  </si>
  <si>
    <t xml:space="preserve">2025-08-26</t>
  </si>
  <si>
    <t xml:space="preserve">Abnormal Low</t>
  </si>
  <si>
    <t xml:space="preserve">2025-02-02</t>
  </si>
  <si>
    <t xml:space="preserve">2025-11-14</t>
  </si>
  <si>
    <t xml:space="preserve">2023-09-13</t>
  </si>
  <si>
    <t xml:space="preserve">2024-06-05</t>
  </si>
  <si>
    <t xml:space="preserve">2025-01-15</t>
  </si>
  <si>
    <t xml:space="preserve">2023-12-19</t>
  </si>
  <si>
    <t xml:space="preserve">2025-12-06</t>
  </si>
  <si>
    <t xml:space="preserve">2023-09-16</t>
  </si>
  <si>
    <t xml:space="preserve">2023-06-21</t>
  </si>
  <si>
    <t xml:space="preserve">📊  DATABASE SUMMARY DASHBOARD</t>
  </si>
  <si>
    <t xml:space="preserve">Total Patients</t>
  </si>
  <si>
    <t xml:space="preserve">Unique Diagnoses</t>
  </si>
  <si>
    <t xml:space="preserve">Avg Age</t>
  </si>
  <si>
    <t xml:space="preserve">Avg BMI</t>
  </si>
  <si>
    <t xml:space="preserve">Abnormal Lab Flags</t>
  </si>
  <si>
    <t xml:space="preserve">Borderline Lab Flags</t>
  </si>
  <si>
    <t xml:space="preserve">Gender Breakdown</t>
  </si>
  <si>
    <t xml:space="preserve">Blood Type Distribution</t>
  </si>
  <si>
    <t xml:space="preserve">⚠️  ALL DATA IN THIS FILE IS COMPLETELY SYNTHETIC AND FICTITIOUS. No real patient information is represented.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</si>
</sst>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CC0000"/>
      <name val="Arial"/>
      <family val="0"/>
      <charset val="1"/>
    </font>
    <font>
      <b val="true"/>
      <sz val="9"/>
      <color rgb="FF806000"/>
      <name val="Arial"/>
      <family val="0"/>
      <charset val="1"/>
    </font>
    <font>
      <b val="true"/>
      <sz val="9"/>
      <color rgb="FF274E13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6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C0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4472C4"/>
      </patternFill>
    </fill>
    <fill>
      <patternFill patternType="solid">
        <fgColor rgb="FFFFFFFF"/>
        <bgColor rgb="FFFFF2CC"/>
      </patternFill>
    </fill>
    <fill>
      <patternFill patternType="solid">
        <fgColor rgb="FFD6E4F0"/>
        <bgColor rgb="FFD9EAD3"/>
      </patternFill>
    </fill>
    <fill>
      <patternFill patternType="solid">
        <fgColor rgb="FFFFCCCC"/>
        <bgColor rgb="FFFFF2CC"/>
      </patternFill>
    </fill>
    <fill>
      <patternFill patternType="solid">
        <fgColor rgb="FFFFF2CC"/>
        <bgColor rgb="FFFFFFFF"/>
      </patternFill>
    </fill>
    <fill>
      <patternFill patternType="solid">
        <fgColor rgb="FFD9EAD3"/>
        <bgColor rgb="FFD6E4F0"/>
      </patternFill>
    </fill>
    <fill>
      <patternFill patternType="solid">
        <fgColor rgb="FF4472C4"/>
        <bgColor rgb="FF2E75B6"/>
      </patternFill>
    </fill>
    <fill>
      <patternFill patternType="solid">
        <fgColor rgb="FFC00000"/>
        <bgColor rgb="FFCC0000"/>
      </patternFill>
    </fill>
    <fill>
      <patternFill patternType="solid">
        <fgColor rgb="FFBF8F00"/>
        <bgColor rgb="FFFF66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6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2E75B6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CC"/>
      <rgbColor rgb="FF4472C4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339966"/>
      <rgbColor rgb="FF003300"/>
      <rgbColor rgb="FF274E13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6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18"/>
    <col collapsed="false" customWidth="true" hidden="false" outlineLevel="0" max="10" min="9" style="0" width="26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3" min="13" style="0" width="2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customFormat="false" ht="15" hidden="false" customHeight="false" outlineLevel="0" collapsed="false">
      <c r="A3" s="3" t="s">
        <v>14</v>
      </c>
      <c r="B3" s="3" t="s">
        <v>15</v>
      </c>
      <c r="C3" s="3" t="s">
        <v>16</v>
      </c>
      <c r="D3" s="3" t="s">
        <v>17</v>
      </c>
      <c r="E3" s="3" t="n">
        <v>65</v>
      </c>
      <c r="F3" s="3" t="s">
        <v>18</v>
      </c>
      <c r="G3" s="3" t="s">
        <v>19</v>
      </c>
      <c r="H3" s="3" t="s">
        <v>20</v>
      </c>
      <c r="I3" s="3" t="s">
        <v>21</v>
      </c>
      <c r="J3" s="3" t="s">
        <v>22</v>
      </c>
      <c r="K3" s="3" t="s">
        <v>23</v>
      </c>
      <c r="L3" s="3" t="s">
        <v>24</v>
      </c>
      <c r="M3" s="3" t="s">
        <v>25</v>
      </c>
    </row>
    <row r="4" customFormat="false" ht="15" hidden="false" customHeight="false" outlineLevel="0" collapsed="false">
      <c r="A4" s="4" t="s">
        <v>26</v>
      </c>
      <c r="B4" s="4" t="s">
        <v>27</v>
      </c>
      <c r="C4" s="4" t="s">
        <v>28</v>
      </c>
      <c r="D4" s="4" t="s">
        <v>29</v>
      </c>
      <c r="E4" s="4" t="n">
        <v>54</v>
      </c>
      <c r="F4" s="4" t="s">
        <v>18</v>
      </c>
      <c r="G4" s="4" t="s">
        <v>30</v>
      </c>
      <c r="H4" s="4" t="s">
        <v>31</v>
      </c>
      <c r="I4" s="4" t="s">
        <v>32</v>
      </c>
      <c r="J4" s="4" t="s">
        <v>33</v>
      </c>
      <c r="K4" s="4" t="s">
        <v>34</v>
      </c>
      <c r="L4" s="4" t="s">
        <v>35</v>
      </c>
      <c r="M4" s="4" t="s">
        <v>36</v>
      </c>
    </row>
    <row r="5" customFormat="false" ht="15" hidden="false" customHeight="false" outlineLevel="0" collapsed="false">
      <c r="A5" s="3" t="s">
        <v>37</v>
      </c>
      <c r="B5" s="3" t="s">
        <v>38</v>
      </c>
      <c r="C5" s="3" t="s">
        <v>39</v>
      </c>
      <c r="D5" s="3" t="s">
        <v>40</v>
      </c>
      <c r="E5" s="3" t="n">
        <v>42</v>
      </c>
      <c r="F5" s="3" t="s">
        <v>41</v>
      </c>
      <c r="G5" s="3" t="s">
        <v>42</v>
      </c>
      <c r="H5" s="3" t="s">
        <v>43</v>
      </c>
      <c r="I5" s="3" t="s">
        <v>44</v>
      </c>
      <c r="J5" s="3" t="s">
        <v>45</v>
      </c>
      <c r="K5" s="3" t="s">
        <v>46</v>
      </c>
      <c r="L5" s="3" t="s">
        <v>47</v>
      </c>
      <c r="M5" s="3" t="s">
        <v>48</v>
      </c>
    </row>
    <row r="6" customFormat="false" ht="15" hidden="false" customHeight="false" outlineLevel="0" collapsed="false">
      <c r="A6" s="4" t="s">
        <v>49</v>
      </c>
      <c r="B6" s="4" t="s">
        <v>50</v>
      </c>
      <c r="C6" s="4" t="s">
        <v>51</v>
      </c>
      <c r="D6" s="4" t="s">
        <v>52</v>
      </c>
      <c r="E6" s="4" t="n">
        <v>75</v>
      </c>
      <c r="F6" s="4" t="s">
        <v>18</v>
      </c>
      <c r="G6" s="4" t="s">
        <v>19</v>
      </c>
      <c r="H6" s="4" t="s">
        <v>53</v>
      </c>
      <c r="I6" s="4" t="s">
        <v>54</v>
      </c>
      <c r="J6" s="4" t="s">
        <v>55</v>
      </c>
      <c r="K6" s="4" t="s">
        <v>56</v>
      </c>
      <c r="L6" s="4" t="s">
        <v>57</v>
      </c>
      <c r="M6" s="4" t="s">
        <v>58</v>
      </c>
    </row>
    <row r="7" customFormat="false" ht="15" hidden="false" customHeight="false" outlineLevel="0" collapsed="false">
      <c r="A7" s="3" t="s">
        <v>59</v>
      </c>
      <c r="B7" s="3" t="s">
        <v>60</v>
      </c>
      <c r="C7" s="3" t="s">
        <v>61</v>
      </c>
      <c r="D7" s="3" t="s">
        <v>62</v>
      </c>
      <c r="E7" s="3" t="n">
        <v>70</v>
      </c>
      <c r="F7" s="3" t="s">
        <v>18</v>
      </c>
      <c r="G7" s="3" t="s">
        <v>30</v>
      </c>
      <c r="H7" s="3" t="s">
        <v>63</v>
      </c>
      <c r="I7" s="3" t="s">
        <v>64</v>
      </c>
      <c r="J7" s="3" t="s">
        <v>65</v>
      </c>
      <c r="K7" s="3" t="s">
        <v>23</v>
      </c>
      <c r="L7" s="3" t="s">
        <v>66</v>
      </c>
      <c r="M7" s="3" t="s">
        <v>67</v>
      </c>
    </row>
    <row r="8" customFormat="false" ht="15" hidden="false" customHeight="false" outlineLevel="0" collapsed="false">
      <c r="A8" s="4" t="s">
        <v>68</v>
      </c>
      <c r="B8" s="4" t="s">
        <v>69</v>
      </c>
      <c r="C8" s="4" t="s">
        <v>70</v>
      </c>
      <c r="D8" s="4" t="s">
        <v>71</v>
      </c>
      <c r="E8" s="4" t="n">
        <v>55</v>
      </c>
      <c r="F8" s="4" t="s">
        <v>41</v>
      </c>
      <c r="G8" s="4" t="s">
        <v>72</v>
      </c>
      <c r="H8" s="4" t="s">
        <v>73</v>
      </c>
      <c r="I8" s="4" t="s">
        <v>74</v>
      </c>
      <c r="J8" s="4" t="s">
        <v>75</v>
      </c>
      <c r="K8" s="4" t="s">
        <v>76</v>
      </c>
      <c r="L8" s="4" t="s">
        <v>77</v>
      </c>
      <c r="M8" s="4" t="s">
        <v>78</v>
      </c>
    </row>
    <row r="9" customFormat="false" ht="15" hidden="false" customHeight="false" outlineLevel="0" collapsed="false">
      <c r="A9" s="3" t="s">
        <v>79</v>
      </c>
      <c r="B9" s="3" t="s">
        <v>80</v>
      </c>
      <c r="C9" s="3" t="s">
        <v>81</v>
      </c>
      <c r="D9" s="3" t="s">
        <v>82</v>
      </c>
      <c r="E9" s="3" t="n">
        <v>71</v>
      </c>
      <c r="F9" s="3" t="s">
        <v>18</v>
      </c>
      <c r="G9" s="3" t="s">
        <v>83</v>
      </c>
      <c r="H9" s="3" t="s">
        <v>84</v>
      </c>
      <c r="I9" s="3" t="s">
        <v>85</v>
      </c>
      <c r="J9" s="3" t="s">
        <v>86</v>
      </c>
      <c r="K9" s="3" t="s">
        <v>87</v>
      </c>
      <c r="L9" s="3" t="s">
        <v>88</v>
      </c>
      <c r="M9" s="3" t="s">
        <v>89</v>
      </c>
    </row>
    <row r="10" customFormat="false" ht="15" hidden="false" customHeight="false" outlineLevel="0" collapsed="false">
      <c r="A10" s="4" t="s">
        <v>90</v>
      </c>
      <c r="B10" s="4" t="s">
        <v>91</v>
      </c>
      <c r="C10" s="4" t="s">
        <v>92</v>
      </c>
      <c r="D10" s="4" t="s">
        <v>93</v>
      </c>
      <c r="E10" s="4" t="n">
        <v>73</v>
      </c>
      <c r="F10" s="4" t="s">
        <v>41</v>
      </c>
      <c r="G10" s="4" t="s">
        <v>72</v>
      </c>
      <c r="H10" s="4" t="s">
        <v>94</v>
      </c>
      <c r="I10" s="4" t="s">
        <v>95</v>
      </c>
      <c r="J10" s="4" t="s">
        <v>96</v>
      </c>
      <c r="K10" s="4" t="s">
        <v>46</v>
      </c>
      <c r="L10" s="4" t="s">
        <v>97</v>
      </c>
      <c r="M10" s="4" t="s">
        <v>98</v>
      </c>
    </row>
    <row r="11" customFormat="false" ht="15" hidden="false" customHeight="false" outlineLevel="0" collapsed="false">
      <c r="A11" s="3" t="s">
        <v>99</v>
      </c>
      <c r="B11" s="3" t="s">
        <v>100</v>
      </c>
      <c r="C11" s="3" t="s">
        <v>101</v>
      </c>
      <c r="D11" s="3" t="s">
        <v>102</v>
      </c>
      <c r="E11" s="3" t="n">
        <v>46</v>
      </c>
      <c r="F11" s="3" t="s">
        <v>18</v>
      </c>
      <c r="G11" s="3" t="s">
        <v>103</v>
      </c>
      <c r="H11" s="3" t="s">
        <v>104</v>
      </c>
      <c r="I11" s="3" t="s">
        <v>105</v>
      </c>
      <c r="J11" s="3" t="s">
        <v>106</v>
      </c>
      <c r="K11" s="3" t="s">
        <v>46</v>
      </c>
      <c r="L11" s="3" t="s">
        <v>107</v>
      </c>
      <c r="M11" s="3" t="s">
        <v>108</v>
      </c>
    </row>
    <row r="12" customFormat="false" ht="15" hidden="false" customHeight="false" outlineLevel="0" collapsed="false">
      <c r="A12" s="4" t="s">
        <v>109</v>
      </c>
      <c r="B12" s="4" t="s">
        <v>110</v>
      </c>
      <c r="C12" s="4" t="s">
        <v>70</v>
      </c>
      <c r="D12" s="4" t="s">
        <v>111</v>
      </c>
      <c r="E12" s="4" t="n">
        <v>20</v>
      </c>
      <c r="F12" s="4" t="s">
        <v>18</v>
      </c>
      <c r="G12" s="4" t="s">
        <v>30</v>
      </c>
      <c r="H12" s="4" t="s">
        <v>112</v>
      </c>
      <c r="I12" s="4" t="s">
        <v>113</v>
      </c>
      <c r="J12" s="4" t="s">
        <v>114</v>
      </c>
      <c r="K12" s="4" t="s">
        <v>23</v>
      </c>
      <c r="L12" s="4" t="s">
        <v>115</v>
      </c>
      <c r="M12" s="4" t="s">
        <v>116</v>
      </c>
    </row>
    <row r="13" customFormat="false" ht="15" hidden="false" customHeight="false" outlineLevel="0" collapsed="false">
      <c r="A13" s="3" t="s">
        <v>117</v>
      </c>
      <c r="B13" s="3" t="s">
        <v>118</v>
      </c>
      <c r="C13" s="3" t="s">
        <v>119</v>
      </c>
      <c r="D13" s="3" t="s">
        <v>120</v>
      </c>
      <c r="E13" s="3" t="n">
        <v>59</v>
      </c>
      <c r="F13" s="3" t="s">
        <v>18</v>
      </c>
      <c r="G13" s="3" t="s">
        <v>121</v>
      </c>
      <c r="H13" s="3" t="s">
        <v>122</v>
      </c>
      <c r="I13" s="3" t="s">
        <v>123</v>
      </c>
      <c r="J13" s="3" t="s">
        <v>124</v>
      </c>
      <c r="K13" s="3" t="s">
        <v>87</v>
      </c>
      <c r="L13" s="3" t="s">
        <v>125</v>
      </c>
      <c r="M13" s="3" t="s">
        <v>126</v>
      </c>
    </row>
    <row r="14" customFormat="false" ht="15" hidden="false" customHeight="false" outlineLevel="0" collapsed="false">
      <c r="A14" s="4" t="s">
        <v>127</v>
      </c>
      <c r="B14" s="4" t="s">
        <v>69</v>
      </c>
      <c r="C14" s="4" t="s">
        <v>28</v>
      </c>
      <c r="D14" s="4" t="s">
        <v>128</v>
      </c>
      <c r="E14" s="4" t="n">
        <v>72</v>
      </c>
      <c r="F14" s="4" t="s">
        <v>41</v>
      </c>
      <c r="G14" s="4" t="s">
        <v>129</v>
      </c>
      <c r="H14" s="4" t="s">
        <v>130</v>
      </c>
      <c r="I14" s="4" t="s">
        <v>131</v>
      </c>
      <c r="J14" s="4" t="s">
        <v>132</v>
      </c>
      <c r="K14" s="4" t="s">
        <v>133</v>
      </c>
      <c r="L14" s="4" t="s">
        <v>134</v>
      </c>
      <c r="M14" s="4" t="s">
        <v>135</v>
      </c>
    </row>
    <row r="15" customFormat="false" ht="15" hidden="false" customHeight="false" outlineLevel="0" collapsed="false">
      <c r="A15" s="3" t="s">
        <v>136</v>
      </c>
      <c r="B15" s="3" t="s">
        <v>137</v>
      </c>
      <c r="C15" s="3" t="s">
        <v>81</v>
      </c>
      <c r="D15" s="3" t="s">
        <v>138</v>
      </c>
      <c r="E15" s="3" t="n">
        <v>77</v>
      </c>
      <c r="F15" s="3" t="s">
        <v>18</v>
      </c>
      <c r="G15" s="3" t="s">
        <v>103</v>
      </c>
      <c r="H15" s="3" t="s">
        <v>139</v>
      </c>
      <c r="I15" s="3" t="s">
        <v>140</v>
      </c>
      <c r="J15" s="3" t="s">
        <v>141</v>
      </c>
      <c r="K15" s="3" t="s">
        <v>142</v>
      </c>
      <c r="L15" s="3" t="s">
        <v>143</v>
      </c>
      <c r="M15" s="3" t="s">
        <v>144</v>
      </c>
    </row>
    <row r="16" customFormat="false" ht="15" hidden="false" customHeight="false" outlineLevel="0" collapsed="false">
      <c r="A16" s="4" t="s">
        <v>145</v>
      </c>
      <c r="B16" s="4" t="s">
        <v>15</v>
      </c>
      <c r="C16" s="4" t="s">
        <v>28</v>
      </c>
      <c r="D16" s="4" t="s">
        <v>146</v>
      </c>
      <c r="E16" s="4" t="n">
        <v>27</v>
      </c>
      <c r="F16" s="4" t="s">
        <v>18</v>
      </c>
      <c r="G16" s="4" t="s">
        <v>121</v>
      </c>
      <c r="H16" s="4" t="s">
        <v>147</v>
      </c>
      <c r="I16" s="4" t="s">
        <v>148</v>
      </c>
      <c r="J16" s="4" t="s">
        <v>149</v>
      </c>
      <c r="K16" s="4" t="s">
        <v>150</v>
      </c>
      <c r="L16" s="4" t="s">
        <v>151</v>
      </c>
      <c r="M16" s="4" t="s">
        <v>152</v>
      </c>
    </row>
    <row r="17" customFormat="false" ht="15" hidden="false" customHeight="false" outlineLevel="0" collapsed="false">
      <c r="A17" s="3" t="s">
        <v>153</v>
      </c>
      <c r="B17" s="3" t="s">
        <v>154</v>
      </c>
      <c r="C17" s="3" t="s">
        <v>28</v>
      </c>
      <c r="D17" s="3" t="s">
        <v>155</v>
      </c>
      <c r="E17" s="3" t="n">
        <v>38</v>
      </c>
      <c r="F17" s="3" t="s">
        <v>41</v>
      </c>
      <c r="G17" s="3" t="s">
        <v>72</v>
      </c>
      <c r="H17" s="3" t="s">
        <v>156</v>
      </c>
      <c r="I17" s="3" t="s">
        <v>157</v>
      </c>
      <c r="J17" s="3" t="s">
        <v>158</v>
      </c>
      <c r="K17" s="3" t="s">
        <v>133</v>
      </c>
      <c r="L17" s="3" t="s">
        <v>159</v>
      </c>
      <c r="M17" s="3" t="s">
        <v>160</v>
      </c>
    </row>
    <row r="18" customFormat="false" ht="15" hidden="false" customHeight="false" outlineLevel="0" collapsed="false">
      <c r="A18" s="4" t="s">
        <v>161</v>
      </c>
      <c r="B18" s="4" t="s">
        <v>60</v>
      </c>
      <c r="C18" s="4" t="s">
        <v>119</v>
      </c>
      <c r="D18" s="4" t="s">
        <v>162</v>
      </c>
      <c r="E18" s="4" t="n">
        <v>26</v>
      </c>
      <c r="F18" s="4" t="s">
        <v>18</v>
      </c>
      <c r="G18" s="4" t="s">
        <v>19</v>
      </c>
      <c r="H18" s="4" t="s">
        <v>163</v>
      </c>
      <c r="I18" s="4" t="s">
        <v>164</v>
      </c>
      <c r="J18" s="4" t="s">
        <v>165</v>
      </c>
      <c r="K18" s="4" t="s">
        <v>133</v>
      </c>
      <c r="L18" s="4" t="s">
        <v>166</v>
      </c>
      <c r="M18" s="4" t="s">
        <v>167</v>
      </c>
    </row>
    <row r="19" customFormat="false" ht="15" hidden="false" customHeight="false" outlineLevel="0" collapsed="false">
      <c r="A19" s="3" t="s">
        <v>168</v>
      </c>
      <c r="B19" s="3" t="s">
        <v>69</v>
      </c>
      <c r="C19" s="3" t="s">
        <v>92</v>
      </c>
      <c r="D19" s="3" t="s">
        <v>169</v>
      </c>
      <c r="E19" s="3" t="n">
        <v>65</v>
      </c>
      <c r="F19" s="3" t="s">
        <v>41</v>
      </c>
      <c r="G19" s="3" t="s">
        <v>72</v>
      </c>
      <c r="H19" s="3" t="s">
        <v>170</v>
      </c>
      <c r="I19" s="3" t="s">
        <v>171</v>
      </c>
      <c r="J19" s="3" t="s">
        <v>172</v>
      </c>
      <c r="K19" s="3" t="s">
        <v>76</v>
      </c>
      <c r="L19" s="3" t="s">
        <v>173</v>
      </c>
      <c r="M19" s="3" t="s">
        <v>126</v>
      </c>
    </row>
    <row r="20" customFormat="false" ht="15" hidden="false" customHeight="false" outlineLevel="0" collapsed="false">
      <c r="A20" s="4" t="s">
        <v>174</v>
      </c>
      <c r="B20" s="4" t="s">
        <v>175</v>
      </c>
      <c r="C20" s="4" t="s">
        <v>39</v>
      </c>
      <c r="D20" s="4" t="s">
        <v>176</v>
      </c>
      <c r="E20" s="4" t="n">
        <v>24</v>
      </c>
      <c r="F20" s="4" t="s">
        <v>41</v>
      </c>
      <c r="G20" s="4" t="s">
        <v>103</v>
      </c>
      <c r="H20" s="4" t="s">
        <v>177</v>
      </c>
      <c r="I20" s="4" t="s">
        <v>178</v>
      </c>
      <c r="J20" s="4" t="s">
        <v>179</v>
      </c>
      <c r="K20" s="4" t="s">
        <v>76</v>
      </c>
      <c r="L20" s="4" t="s">
        <v>180</v>
      </c>
      <c r="M20" s="4" t="s">
        <v>181</v>
      </c>
    </row>
    <row r="21" customFormat="false" ht="15" hidden="false" customHeight="false" outlineLevel="0" collapsed="false">
      <c r="A21" s="3" t="s">
        <v>182</v>
      </c>
      <c r="B21" s="3" t="s">
        <v>183</v>
      </c>
      <c r="C21" s="3" t="s">
        <v>51</v>
      </c>
      <c r="D21" s="3" t="s">
        <v>184</v>
      </c>
      <c r="E21" s="3" t="n">
        <v>42</v>
      </c>
      <c r="F21" s="3" t="s">
        <v>18</v>
      </c>
      <c r="G21" s="3" t="s">
        <v>103</v>
      </c>
      <c r="H21" s="3" t="s">
        <v>185</v>
      </c>
      <c r="I21" s="3" t="s">
        <v>186</v>
      </c>
      <c r="J21" s="3" t="s">
        <v>187</v>
      </c>
      <c r="K21" s="3" t="s">
        <v>133</v>
      </c>
      <c r="L21" s="3" t="s">
        <v>188</v>
      </c>
      <c r="M21" s="3" t="s">
        <v>189</v>
      </c>
    </row>
    <row r="22" customFormat="false" ht="15" hidden="false" customHeight="false" outlineLevel="0" collapsed="false">
      <c r="A22" s="4" t="s">
        <v>190</v>
      </c>
      <c r="B22" s="4" t="s">
        <v>137</v>
      </c>
      <c r="C22" s="4" t="s">
        <v>16</v>
      </c>
      <c r="D22" s="4" t="s">
        <v>191</v>
      </c>
      <c r="E22" s="4" t="n">
        <v>70</v>
      </c>
      <c r="F22" s="4" t="s">
        <v>18</v>
      </c>
      <c r="G22" s="4" t="s">
        <v>83</v>
      </c>
      <c r="H22" s="4" t="s">
        <v>192</v>
      </c>
      <c r="I22" s="4" t="s">
        <v>193</v>
      </c>
      <c r="J22" s="4" t="s">
        <v>194</v>
      </c>
      <c r="K22" s="4" t="s">
        <v>23</v>
      </c>
      <c r="L22" s="4" t="s">
        <v>195</v>
      </c>
      <c r="M22" s="4" t="s">
        <v>196</v>
      </c>
    </row>
    <row r="23" customFormat="false" ht="15" hidden="false" customHeight="false" outlineLevel="0" collapsed="false">
      <c r="A23" s="3" t="s">
        <v>197</v>
      </c>
      <c r="B23" s="3" t="s">
        <v>183</v>
      </c>
      <c r="C23" s="3" t="s">
        <v>39</v>
      </c>
      <c r="D23" s="3" t="s">
        <v>198</v>
      </c>
      <c r="E23" s="3" t="n">
        <v>23</v>
      </c>
      <c r="F23" s="3" t="s">
        <v>18</v>
      </c>
      <c r="G23" s="3" t="s">
        <v>121</v>
      </c>
      <c r="H23" s="3" t="s">
        <v>199</v>
      </c>
      <c r="I23" s="3" t="s">
        <v>200</v>
      </c>
      <c r="J23" s="3" t="s">
        <v>201</v>
      </c>
      <c r="K23" s="3" t="s">
        <v>133</v>
      </c>
      <c r="L23" s="3" t="s">
        <v>202</v>
      </c>
      <c r="M23" s="3" t="s">
        <v>203</v>
      </c>
    </row>
    <row r="24" customFormat="false" ht="15" hidden="false" customHeight="false" outlineLevel="0" collapsed="false">
      <c r="A24" s="4" t="s">
        <v>204</v>
      </c>
      <c r="B24" s="4" t="s">
        <v>91</v>
      </c>
      <c r="C24" s="4" t="s">
        <v>61</v>
      </c>
      <c r="D24" s="4" t="s">
        <v>205</v>
      </c>
      <c r="E24" s="4" t="n">
        <v>63</v>
      </c>
      <c r="F24" s="4" t="s">
        <v>41</v>
      </c>
      <c r="G24" s="4" t="s">
        <v>19</v>
      </c>
      <c r="H24" s="4" t="s">
        <v>206</v>
      </c>
      <c r="I24" s="4" t="s">
        <v>207</v>
      </c>
      <c r="J24" s="4" t="s">
        <v>208</v>
      </c>
      <c r="K24" s="4" t="s">
        <v>56</v>
      </c>
      <c r="L24" s="4" t="s">
        <v>209</v>
      </c>
      <c r="M24" s="4" t="s">
        <v>210</v>
      </c>
    </row>
    <row r="25" customFormat="false" ht="15" hidden="false" customHeight="false" outlineLevel="0" collapsed="false">
      <c r="A25" s="3" t="s">
        <v>211</v>
      </c>
      <c r="B25" s="3" t="s">
        <v>212</v>
      </c>
      <c r="C25" s="3" t="s">
        <v>119</v>
      </c>
      <c r="D25" s="3" t="s">
        <v>213</v>
      </c>
      <c r="E25" s="3" t="n">
        <v>31</v>
      </c>
      <c r="F25" s="3" t="s">
        <v>41</v>
      </c>
      <c r="G25" s="3" t="s">
        <v>83</v>
      </c>
      <c r="H25" s="3" t="s">
        <v>214</v>
      </c>
      <c r="I25" s="3" t="s">
        <v>215</v>
      </c>
      <c r="J25" s="3" t="s">
        <v>216</v>
      </c>
      <c r="K25" s="3" t="s">
        <v>23</v>
      </c>
      <c r="L25" s="3" t="s">
        <v>217</v>
      </c>
      <c r="M25" s="3" t="s">
        <v>48</v>
      </c>
    </row>
    <row r="26" customFormat="false" ht="15" hidden="false" customHeight="false" outlineLevel="0" collapsed="false">
      <c r="A26" s="4" t="s">
        <v>218</v>
      </c>
      <c r="B26" s="4" t="s">
        <v>154</v>
      </c>
      <c r="C26" s="4" t="s">
        <v>219</v>
      </c>
      <c r="D26" s="4" t="s">
        <v>220</v>
      </c>
      <c r="E26" s="4" t="n">
        <v>48</v>
      </c>
      <c r="F26" s="4" t="s">
        <v>41</v>
      </c>
      <c r="G26" s="4" t="s">
        <v>121</v>
      </c>
      <c r="H26" s="4" t="s">
        <v>221</v>
      </c>
      <c r="I26" s="4" t="s">
        <v>222</v>
      </c>
      <c r="J26" s="4" t="s">
        <v>223</v>
      </c>
      <c r="K26" s="4" t="s">
        <v>76</v>
      </c>
      <c r="L26" s="4" t="s">
        <v>224</v>
      </c>
      <c r="M26" s="4" t="s">
        <v>25</v>
      </c>
    </row>
    <row r="27" customFormat="false" ht="15" hidden="false" customHeight="false" outlineLevel="0" collapsed="false">
      <c r="A27" s="3" t="s">
        <v>225</v>
      </c>
      <c r="B27" s="3" t="s">
        <v>226</v>
      </c>
      <c r="C27" s="3" t="s">
        <v>92</v>
      </c>
      <c r="D27" s="3" t="s">
        <v>227</v>
      </c>
      <c r="E27" s="3" t="n">
        <v>41</v>
      </c>
      <c r="F27" s="3" t="s">
        <v>41</v>
      </c>
      <c r="G27" s="3" t="s">
        <v>19</v>
      </c>
      <c r="H27" s="3" t="s">
        <v>228</v>
      </c>
      <c r="I27" s="3" t="s">
        <v>229</v>
      </c>
      <c r="J27" s="3" t="s">
        <v>230</v>
      </c>
      <c r="K27" s="3" t="s">
        <v>76</v>
      </c>
      <c r="L27" s="3" t="s">
        <v>231</v>
      </c>
      <c r="M27" s="3" t="s">
        <v>36</v>
      </c>
    </row>
    <row r="28" customFormat="false" ht="15" hidden="false" customHeight="false" outlineLevel="0" collapsed="false">
      <c r="A28" s="4" t="s">
        <v>232</v>
      </c>
      <c r="B28" s="4" t="s">
        <v>233</v>
      </c>
      <c r="C28" s="4" t="s">
        <v>234</v>
      </c>
      <c r="D28" s="4" t="s">
        <v>235</v>
      </c>
      <c r="E28" s="4" t="n">
        <v>61</v>
      </c>
      <c r="F28" s="4" t="s">
        <v>18</v>
      </c>
      <c r="G28" s="4" t="s">
        <v>42</v>
      </c>
      <c r="H28" s="4" t="s">
        <v>236</v>
      </c>
      <c r="I28" s="4" t="s">
        <v>237</v>
      </c>
      <c r="J28" s="4" t="s">
        <v>238</v>
      </c>
      <c r="K28" s="4" t="s">
        <v>76</v>
      </c>
      <c r="L28" s="4" t="s">
        <v>239</v>
      </c>
      <c r="M28" s="4" t="s">
        <v>36</v>
      </c>
    </row>
    <row r="29" customFormat="false" ht="15" hidden="false" customHeight="false" outlineLevel="0" collapsed="false">
      <c r="A29" s="3" t="s">
        <v>240</v>
      </c>
      <c r="B29" s="3" t="s">
        <v>183</v>
      </c>
      <c r="C29" s="3" t="s">
        <v>241</v>
      </c>
      <c r="D29" s="3" t="s">
        <v>242</v>
      </c>
      <c r="E29" s="3" t="n">
        <v>38</v>
      </c>
      <c r="F29" s="3" t="s">
        <v>18</v>
      </c>
      <c r="G29" s="3" t="s">
        <v>103</v>
      </c>
      <c r="H29" s="3" t="s">
        <v>243</v>
      </c>
      <c r="I29" s="3" t="s">
        <v>244</v>
      </c>
      <c r="J29" s="3" t="s">
        <v>245</v>
      </c>
      <c r="K29" s="3" t="s">
        <v>142</v>
      </c>
      <c r="L29" s="3" t="s">
        <v>246</v>
      </c>
      <c r="M29" s="3" t="s">
        <v>247</v>
      </c>
    </row>
    <row r="30" customFormat="false" ht="15" hidden="false" customHeight="false" outlineLevel="0" collapsed="false">
      <c r="A30" s="4" t="s">
        <v>248</v>
      </c>
      <c r="B30" s="4" t="s">
        <v>154</v>
      </c>
      <c r="C30" s="4" t="s">
        <v>234</v>
      </c>
      <c r="D30" s="4" t="s">
        <v>249</v>
      </c>
      <c r="E30" s="4" t="n">
        <v>68</v>
      </c>
      <c r="F30" s="4" t="s">
        <v>41</v>
      </c>
      <c r="G30" s="4" t="s">
        <v>83</v>
      </c>
      <c r="H30" s="4" t="s">
        <v>250</v>
      </c>
      <c r="I30" s="4" t="s">
        <v>251</v>
      </c>
      <c r="J30" s="4" t="s">
        <v>252</v>
      </c>
      <c r="K30" s="4" t="s">
        <v>46</v>
      </c>
      <c r="L30" s="4" t="s">
        <v>253</v>
      </c>
      <c r="M30" s="4" t="s">
        <v>254</v>
      </c>
    </row>
    <row r="31" customFormat="false" ht="15" hidden="false" customHeight="false" outlineLevel="0" collapsed="false">
      <c r="A31" s="3" t="s">
        <v>255</v>
      </c>
      <c r="B31" s="3" t="s">
        <v>60</v>
      </c>
      <c r="C31" s="3" t="s">
        <v>61</v>
      </c>
      <c r="D31" s="3" t="s">
        <v>256</v>
      </c>
      <c r="E31" s="3" t="n">
        <v>22</v>
      </c>
      <c r="F31" s="3" t="s">
        <v>18</v>
      </c>
      <c r="G31" s="3" t="s">
        <v>72</v>
      </c>
      <c r="H31" s="3" t="s">
        <v>257</v>
      </c>
      <c r="I31" s="3" t="s">
        <v>258</v>
      </c>
      <c r="J31" s="3" t="s">
        <v>259</v>
      </c>
      <c r="K31" s="3" t="s">
        <v>46</v>
      </c>
      <c r="L31" s="3" t="s">
        <v>260</v>
      </c>
      <c r="M31" s="3" t="s">
        <v>261</v>
      </c>
    </row>
    <row r="32" customFormat="false" ht="15" hidden="false" customHeight="false" outlineLevel="0" collapsed="false">
      <c r="A32" s="4" t="s">
        <v>262</v>
      </c>
      <c r="B32" s="4" t="s">
        <v>263</v>
      </c>
      <c r="C32" s="4" t="s">
        <v>61</v>
      </c>
      <c r="D32" s="4" t="s">
        <v>264</v>
      </c>
      <c r="E32" s="4" t="n">
        <v>63</v>
      </c>
      <c r="F32" s="4" t="s">
        <v>41</v>
      </c>
      <c r="G32" s="4" t="s">
        <v>30</v>
      </c>
      <c r="H32" s="4" t="s">
        <v>265</v>
      </c>
      <c r="I32" s="4" t="s">
        <v>266</v>
      </c>
      <c r="J32" s="4" t="s">
        <v>267</v>
      </c>
      <c r="K32" s="4" t="s">
        <v>133</v>
      </c>
      <c r="L32" s="4" t="s">
        <v>268</v>
      </c>
      <c r="M32" s="4" t="s">
        <v>269</v>
      </c>
    </row>
    <row r="33" customFormat="false" ht="15" hidden="false" customHeight="false" outlineLevel="0" collapsed="false">
      <c r="A33" s="3" t="s">
        <v>270</v>
      </c>
      <c r="B33" s="3" t="s">
        <v>154</v>
      </c>
      <c r="C33" s="3" t="s">
        <v>92</v>
      </c>
      <c r="D33" s="3" t="s">
        <v>271</v>
      </c>
      <c r="E33" s="3" t="n">
        <v>46</v>
      </c>
      <c r="F33" s="3" t="s">
        <v>41</v>
      </c>
      <c r="G33" s="3" t="s">
        <v>42</v>
      </c>
      <c r="H33" s="3" t="s">
        <v>272</v>
      </c>
      <c r="I33" s="3" t="s">
        <v>273</v>
      </c>
      <c r="J33" s="3" t="s">
        <v>274</v>
      </c>
      <c r="K33" s="3" t="s">
        <v>133</v>
      </c>
      <c r="L33" s="3" t="s">
        <v>275</v>
      </c>
      <c r="M33" s="3" t="s">
        <v>276</v>
      </c>
    </row>
    <row r="34" customFormat="false" ht="15" hidden="false" customHeight="false" outlineLevel="0" collapsed="false">
      <c r="A34" s="4" t="s">
        <v>277</v>
      </c>
      <c r="B34" s="4" t="s">
        <v>278</v>
      </c>
      <c r="C34" s="4" t="s">
        <v>61</v>
      </c>
      <c r="D34" s="4" t="s">
        <v>279</v>
      </c>
      <c r="E34" s="4" t="n">
        <v>63</v>
      </c>
      <c r="F34" s="4" t="s">
        <v>18</v>
      </c>
      <c r="G34" s="4" t="s">
        <v>42</v>
      </c>
      <c r="H34" s="4" t="s">
        <v>280</v>
      </c>
      <c r="I34" s="4" t="s">
        <v>281</v>
      </c>
      <c r="J34" s="4" t="s">
        <v>282</v>
      </c>
      <c r="K34" s="4" t="s">
        <v>56</v>
      </c>
      <c r="L34" s="4" t="s">
        <v>283</v>
      </c>
      <c r="M34" s="4" t="s">
        <v>203</v>
      </c>
    </row>
    <row r="35" customFormat="false" ht="15" hidden="false" customHeight="false" outlineLevel="0" collapsed="false">
      <c r="A35" s="3" t="s">
        <v>284</v>
      </c>
      <c r="B35" s="3" t="s">
        <v>285</v>
      </c>
      <c r="C35" s="3" t="s">
        <v>286</v>
      </c>
      <c r="D35" s="3" t="s">
        <v>287</v>
      </c>
      <c r="E35" s="3" t="n">
        <v>72</v>
      </c>
      <c r="F35" s="3" t="s">
        <v>18</v>
      </c>
      <c r="G35" s="3" t="s">
        <v>42</v>
      </c>
      <c r="H35" s="3" t="s">
        <v>288</v>
      </c>
      <c r="I35" s="3" t="s">
        <v>289</v>
      </c>
      <c r="J35" s="3" t="s">
        <v>290</v>
      </c>
      <c r="K35" s="3" t="s">
        <v>76</v>
      </c>
      <c r="L35" s="3" t="s">
        <v>291</v>
      </c>
      <c r="M35" s="3" t="s">
        <v>144</v>
      </c>
    </row>
    <row r="36" customFormat="false" ht="15" hidden="false" customHeight="false" outlineLevel="0" collapsed="false">
      <c r="A36" s="4" t="s">
        <v>292</v>
      </c>
      <c r="B36" s="4" t="s">
        <v>293</v>
      </c>
      <c r="C36" s="4" t="s">
        <v>28</v>
      </c>
      <c r="D36" s="4" t="s">
        <v>294</v>
      </c>
      <c r="E36" s="4" t="n">
        <v>77</v>
      </c>
      <c r="F36" s="4" t="s">
        <v>41</v>
      </c>
      <c r="G36" s="4" t="s">
        <v>19</v>
      </c>
      <c r="H36" s="4" t="s">
        <v>295</v>
      </c>
      <c r="I36" s="4" t="s">
        <v>296</v>
      </c>
      <c r="J36" s="4" t="s">
        <v>297</v>
      </c>
      <c r="K36" s="4" t="s">
        <v>34</v>
      </c>
      <c r="L36" s="4" t="s">
        <v>298</v>
      </c>
      <c r="M36" s="4" t="s">
        <v>167</v>
      </c>
    </row>
    <row r="37" customFormat="false" ht="15" hidden="false" customHeight="false" outlineLevel="0" collapsed="false">
      <c r="A37" s="3" t="s">
        <v>299</v>
      </c>
      <c r="B37" s="3" t="s">
        <v>278</v>
      </c>
      <c r="C37" s="3" t="s">
        <v>16</v>
      </c>
      <c r="D37" s="3" t="s">
        <v>300</v>
      </c>
      <c r="E37" s="3" t="n">
        <v>31</v>
      </c>
      <c r="F37" s="3" t="s">
        <v>18</v>
      </c>
      <c r="G37" s="3" t="s">
        <v>19</v>
      </c>
      <c r="H37" s="3" t="s">
        <v>301</v>
      </c>
      <c r="I37" s="3" t="s">
        <v>302</v>
      </c>
      <c r="J37" s="3" t="s">
        <v>303</v>
      </c>
      <c r="K37" s="3" t="s">
        <v>150</v>
      </c>
      <c r="L37" s="3" t="s">
        <v>304</v>
      </c>
      <c r="M37" s="3" t="s">
        <v>305</v>
      </c>
    </row>
    <row r="38" customFormat="false" ht="15" hidden="false" customHeight="false" outlineLevel="0" collapsed="false">
      <c r="A38" s="4" t="s">
        <v>306</v>
      </c>
      <c r="B38" s="4" t="s">
        <v>285</v>
      </c>
      <c r="C38" s="4" t="s">
        <v>51</v>
      </c>
      <c r="D38" s="4" t="s">
        <v>307</v>
      </c>
      <c r="E38" s="4" t="n">
        <v>26</v>
      </c>
      <c r="F38" s="4" t="s">
        <v>18</v>
      </c>
      <c r="G38" s="4" t="s">
        <v>19</v>
      </c>
      <c r="H38" s="4" t="s">
        <v>308</v>
      </c>
      <c r="I38" s="4" t="s">
        <v>309</v>
      </c>
      <c r="J38" s="4" t="s">
        <v>310</v>
      </c>
      <c r="K38" s="4" t="s">
        <v>87</v>
      </c>
      <c r="L38" s="4" t="s">
        <v>311</v>
      </c>
      <c r="M38" s="4" t="s">
        <v>36</v>
      </c>
    </row>
    <row r="39" customFormat="false" ht="15" hidden="false" customHeight="false" outlineLevel="0" collapsed="false">
      <c r="A39" s="3" t="s">
        <v>312</v>
      </c>
      <c r="B39" s="3" t="s">
        <v>313</v>
      </c>
      <c r="C39" s="3" t="s">
        <v>314</v>
      </c>
      <c r="D39" s="3" t="s">
        <v>315</v>
      </c>
      <c r="E39" s="3" t="n">
        <v>35</v>
      </c>
      <c r="F39" s="3" t="s">
        <v>41</v>
      </c>
      <c r="G39" s="3" t="s">
        <v>72</v>
      </c>
      <c r="H39" s="3" t="s">
        <v>316</v>
      </c>
      <c r="I39" s="3" t="s">
        <v>317</v>
      </c>
      <c r="J39" s="3" t="s">
        <v>318</v>
      </c>
      <c r="K39" s="3" t="s">
        <v>23</v>
      </c>
      <c r="L39" s="3" t="s">
        <v>319</v>
      </c>
      <c r="M39" s="3" t="s">
        <v>320</v>
      </c>
    </row>
    <row r="40" customFormat="false" ht="15" hidden="false" customHeight="false" outlineLevel="0" collapsed="false">
      <c r="A40" s="4" t="s">
        <v>321</v>
      </c>
      <c r="B40" s="4" t="s">
        <v>69</v>
      </c>
      <c r="C40" s="4" t="s">
        <v>314</v>
      </c>
      <c r="D40" s="4" t="s">
        <v>322</v>
      </c>
      <c r="E40" s="4" t="n">
        <v>44</v>
      </c>
      <c r="F40" s="4" t="s">
        <v>41</v>
      </c>
      <c r="G40" s="4" t="s">
        <v>83</v>
      </c>
      <c r="H40" s="4" t="s">
        <v>323</v>
      </c>
      <c r="I40" s="4" t="s">
        <v>324</v>
      </c>
      <c r="J40" s="4" t="s">
        <v>325</v>
      </c>
      <c r="K40" s="4" t="s">
        <v>326</v>
      </c>
      <c r="L40" s="4" t="s">
        <v>327</v>
      </c>
      <c r="M40" s="4" t="s">
        <v>58</v>
      </c>
    </row>
    <row r="41" customFormat="false" ht="15" hidden="false" customHeight="false" outlineLevel="0" collapsed="false">
      <c r="A41" s="3" t="s">
        <v>328</v>
      </c>
      <c r="B41" s="3" t="s">
        <v>60</v>
      </c>
      <c r="C41" s="3" t="s">
        <v>329</v>
      </c>
      <c r="D41" s="3" t="s">
        <v>330</v>
      </c>
      <c r="E41" s="3" t="n">
        <v>75</v>
      </c>
      <c r="F41" s="3" t="s">
        <v>18</v>
      </c>
      <c r="G41" s="3" t="s">
        <v>83</v>
      </c>
      <c r="H41" s="3" t="s">
        <v>331</v>
      </c>
      <c r="I41" s="3" t="s">
        <v>332</v>
      </c>
      <c r="J41" s="3" t="s">
        <v>333</v>
      </c>
      <c r="K41" s="3" t="s">
        <v>46</v>
      </c>
      <c r="L41" s="3" t="s">
        <v>334</v>
      </c>
      <c r="M41" s="3" t="s">
        <v>320</v>
      </c>
    </row>
    <row r="42" customFormat="false" ht="15" hidden="false" customHeight="false" outlineLevel="0" collapsed="false">
      <c r="A42" s="4" t="s">
        <v>335</v>
      </c>
      <c r="B42" s="4" t="s">
        <v>263</v>
      </c>
      <c r="C42" s="4" t="s">
        <v>234</v>
      </c>
      <c r="D42" s="4" t="s">
        <v>336</v>
      </c>
      <c r="E42" s="4" t="n">
        <v>57</v>
      </c>
      <c r="F42" s="4" t="s">
        <v>41</v>
      </c>
      <c r="G42" s="4" t="s">
        <v>103</v>
      </c>
      <c r="H42" s="4" t="s">
        <v>337</v>
      </c>
      <c r="I42" s="4" t="s">
        <v>338</v>
      </c>
      <c r="J42" s="4" t="s">
        <v>339</v>
      </c>
      <c r="K42" s="4" t="s">
        <v>56</v>
      </c>
      <c r="L42" s="4" t="s">
        <v>340</v>
      </c>
      <c r="M42" s="4" t="s">
        <v>189</v>
      </c>
    </row>
    <row r="43" customFormat="false" ht="15" hidden="false" customHeight="false" outlineLevel="0" collapsed="false">
      <c r="A43" s="3" t="s">
        <v>341</v>
      </c>
      <c r="B43" s="3" t="s">
        <v>118</v>
      </c>
      <c r="C43" s="3" t="s">
        <v>329</v>
      </c>
      <c r="D43" s="3" t="s">
        <v>342</v>
      </c>
      <c r="E43" s="3" t="n">
        <v>33</v>
      </c>
      <c r="F43" s="3" t="s">
        <v>18</v>
      </c>
      <c r="G43" s="3" t="s">
        <v>30</v>
      </c>
      <c r="H43" s="3" t="s">
        <v>343</v>
      </c>
      <c r="I43" s="3" t="s">
        <v>344</v>
      </c>
      <c r="J43" s="3" t="s">
        <v>345</v>
      </c>
      <c r="K43" s="3" t="s">
        <v>142</v>
      </c>
      <c r="L43" s="3" t="s">
        <v>346</v>
      </c>
      <c r="M43" s="3" t="s">
        <v>347</v>
      </c>
    </row>
    <row r="44" customFormat="false" ht="15" hidden="false" customHeight="false" outlineLevel="0" collapsed="false">
      <c r="A44" s="4" t="s">
        <v>348</v>
      </c>
      <c r="B44" s="4" t="s">
        <v>349</v>
      </c>
      <c r="C44" s="4" t="s">
        <v>350</v>
      </c>
      <c r="D44" s="4" t="s">
        <v>351</v>
      </c>
      <c r="E44" s="4" t="n">
        <v>40</v>
      </c>
      <c r="F44" s="4" t="s">
        <v>41</v>
      </c>
      <c r="G44" s="4" t="s">
        <v>42</v>
      </c>
      <c r="H44" s="4" t="s">
        <v>352</v>
      </c>
      <c r="I44" s="4" t="s">
        <v>353</v>
      </c>
      <c r="J44" s="4" t="s">
        <v>354</v>
      </c>
      <c r="K44" s="4" t="s">
        <v>87</v>
      </c>
      <c r="L44" s="4" t="s">
        <v>355</v>
      </c>
      <c r="M44" s="4" t="s">
        <v>320</v>
      </c>
    </row>
    <row r="45" customFormat="false" ht="15" hidden="false" customHeight="false" outlineLevel="0" collapsed="false">
      <c r="A45" s="3" t="s">
        <v>356</v>
      </c>
      <c r="B45" s="3" t="s">
        <v>226</v>
      </c>
      <c r="C45" s="3" t="s">
        <v>234</v>
      </c>
      <c r="D45" s="3" t="s">
        <v>357</v>
      </c>
      <c r="E45" s="3" t="n">
        <v>40</v>
      </c>
      <c r="F45" s="3" t="s">
        <v>41</v>
      </c>
      <c r="G45" s="3" t="s">
        <v>72</v>
      </c>
      <c r="H45" s="3" t="s">
        <v>358</v>
      </c>
      <c r="I45" s="3" t="s">
        <v>359</v>
      </c>
      <c r="J45" s="3" t="s">
        <v>360</v>
      </c>
      <c r="K45" s="3" t="s">
        <v>150</v>
      </c>
      <c r="L45" s="3" t="s">
        <v>361</v>
      </c>
      <c r="M45" s="3" t="s">
        <v>362</v>
      </c>
    </row>
    <row r="46" customFormat="false" ht="15" hidden="false" customHeight="false" outlineLevel="0" collapsed="false">
      <c r="A46" s="4" t="s">
        <v>363</v>
      </c>
      <c r="B46" s="4" t="s">
        <v>364</v>
      </c>
      <c r="C46" s="4" t="s">
        <v>314</v>
      </c>
      <c r="D46" s="4" t="s">
        <v>365</v>
      </c>
      <c r="E46" s="4" t="n">
        <v>61</v>
      </c>
      <c r="F46" s="4" t="s">
        <v>41</v>
      </c>
      <c r="G46" s="4" t="s">
        <v>30</v>
      </c>
      <c r="H46" s="4" t="s">
        <v>366</v>
      </c>
      <c r="I46" s="4" t="s">
        <v>367</v>
      </c>
      <c r="J46" s="4" t="s">
        <v>368</v>
      </c>
      <c r="K46" s="4" t="s">
        <v>87</v>
      </c>
      <c r="L46" s="4" t="s">
        <v>369</v>
      </c>
      <c r="M46" s="4" t="s">
        <v>370</v>
      </c>
    </row>
    <row r="47" customFormat="false" ht="15" hidden="false" customHeight="false" outlineLevel="0" collapsed="false">
      <c r="A47" s="3" t="s">
        <v>371</v>
      </c>
      <c r="B47" s="3" t="s">
        <v>110</v>
      </c>
      <c r="C47" s="3" t="s">
        <v>372</v>
      </c>
      <c r="D47" s="3" t="s">
        <v>373</v>
      </c>
      <c r="E47" s="3" t="n">
        <v>54</v>
      </c>
      <c r="F47" s="3" t="s">
        <v>18</v>
      </c>
      <c r="G47" s="3" t="s">
        <v>129</v>
      </c>
      <c r="H47" s="3" t="s">
        <v>374</v>
      </c>
      <c r="I47" s="3" t="s">
        <v>375</v>
      </c>
      <c r="J47" s="3" t="s">
        <v>376</v>
      </c>
      <c r="K47" s="3" t="s">
        <v>76</v>
      </c>
      <c r="L47" s="3" t="s">
        <v>377</v>
      </c>
      <c r="M47" s="3" t="s">
        <v>378</v>
      </c>
    </row>
    <row r="48" customFormat="false" ht="15" hidden="false" customHeight="false" outlineLevel="0" collapsed="false">
      <c r="A48" s="4" t="s">
        <v>379</v>
      </c>
      <c r="B48" s="4" t="s">
        <v>226</v>
      </c>
      <c r="C48" s="4" t="s">
        <v>28</v>
      </c>
      <c r="D48" s="4" t="s">
        <v>380</v>
      </c>
      <c r="E48" s="4" t="n">
        <v>66</v>
      </c>
      <c r="F48" s="4" t="s">
        <v>41</v>
      </c>
      <c r="G48" s="4" t="s">
        <v>30</v>
      </c>
      <c r="H48" s="4" t="s">
        <v>381</v>
      </c>
      <c r="I48" s="4" t="s">
        <v>382</v>
      </c>
      <c r="J48" s="4" t="s">
        <v>383</v>
      </c>
      <c r="K48" s="4" t="s">
        <v>150</v>
      </c>
      <c r="L48" s="4" t="s">
        <v>384</v>
      </c>
      <c r="M48" s="4" t="s">
        <v>385</v>
      </c>
    </row>
    <row r="49" customFormat="false" ht="15" hidden="false" customHeight="false" outlineLevel="0" collapsed="false">
      <c r="A49" s="3" t="s">
        <v>386</v>
      </c>
      <c r="B49" s="3" t="s">
        <v>212</v>
      </c>
      <c r="C49" s="3" t="s">
        <v>241</v>
      </c>
      <c r="D49" s="3" t="s">
        <v>387</v>
      </c>
      <c r="E49" s="3" t="n">
        <v>46</v>
      </c>
      <c r="F49" s="3" t="s">
        <v>41</v>
      </c>
      <c r="G49" s="3" t="s">
        <v>19</v>
      </c>
      <c r="H49" s="3" t="s">
        <v>388</v>
      </c>
      <c r="I49" s="3" t="s">
        <v>389</v>
      </c>
      <c r="J49" s="3" t="s">
        <v>390</v>
      </c>
      <c r="K49" s="3" t="s">
        <v>87</v>
      </c>
      <c r="L49" s="3" t="s">
        <v>391</v>
      </c>
      <c r="M49" s="3" t="s">
        <v>108</v>
      </c>
    </row>
    <row r="50" customFormat="false" ht="15" hidden="false" customHeight="false" outlineLevel="0" collapsed="false">
      <c r="A50" s="4" t="s">
        <v>392</v>
      </c>
      <c r="B50" s="4" t="s">
        <v>50</v>
      </c>
      <c r="C50" s="4" t="s">
        <v>101</v>
      </c>
      <c r="D50" s="4" t="s">
        <v>393</v>
      </c>
      <c r="E50" s="4" t="n">
        <v>50</v>
      </c>
      <c r="F50" s="4" t="s">
        <v>18</v>
      </c>
      <c r="G50" s="4" t="s">
        <v>129</v>
      </c>
      <c r="H50" s="4" t="s">
        <v>394</v>
      </c>
      <c r="I50" s="4" t="s">
        <v>395</v>
      </c>
      <c r="J50" s="4" t="s">
        <v>396</v>
      </c>
      <c r="K50" s="4" t="s">
        <v>76</v>
      </c>
      <c r="L50" s="4" t="s">
        <v>397</v>
      </c>
      <c r="M50" s="4" t="s">
        <v>89</v>
      </c>
    </row>
    <row r="51" customFormat="false" ht="15" hidden="false" customHeight="false" outlineLevel="0" collapsed="false">
      <c r="A51" s="3" t="s">
        <v>398</v>
      </c>
      <c r="B51" s="3" t="s">
        <v>154</v>
      </c>
      <c r="C51" s="3" t="s">
        <v>70</v>
      </c>
      <c r="D51" s="3" t="s">
        <v>399</v>
      </c>
      <c r="E51" s="3" t="n">
        <v>62</v>
      </c>
      <c r="F51" s="3" t="s">
        <v>41</v>
      </c>
      <c r="G51" s="3" t="s">
        <v>42</v>
      </c>
      <c r="H51" s="3" t="s">
        <v>400</v>
      </c>
      <c r="I51" s="3" t="s">
        <v>401</v>
      </c>
      <c r="J51" s="3" t="s">
        <v>402</v>
      </c>
      <c r="K51" s="3" t="s">
        <v>46</v>
      </c>
      <c r="L51" s="3" t="s">
        <v>403</v>
      </c>
      <c r="M51" s="3" t="s">
        <v>404</v>
      </c>
    </row>
    <row r="52" customFormat="false" ht="15" hidden="false" customHeight="false" outlineLevel="0" collapsed="false">
      <c r="A52" s="4" t="s">
        <v>405</v>
      </c>
      <c r="B52" s="4" t="s">
        <v>293</v>
      </c>
      <c r="C52" s="4" t="s">
        <v>329</v>
      </c>
      <c r="D52" s="4" t="s">
        <v>406</v>
      </c>
      <c r="E52" s="4" t="n">
        <v>47</v>
      </c>
      <c r="F52" s="4" t="s">
        <v>41</v>
      </c>
      <c r="G52" s="4" t="s">
        <v>129</v>
      </c>
      <c r="H52" s="4" t="s">
        <v>407</v>
      </c>
      <c r="I52" s="4" t="s">
        <v>408</v>
      </c>
      <c r="J52" s="4" t="s">
        <v>409</v>
      </c>
      <c r="K52" s="4" t="s">
        <v>46</v>
      </c>
      <c r="L52" s="4" t="s">
        <v>410</v>
      </c>
      <c r="M52" s="4" t="s">
        <v>98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5" min="3" style="0" width="22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8"/>
    <col collapsed="false" customWidth="true" hidden="false" outlineLevel="0" max="11" min="11" style="0" width="14"/>
    <col collapsed="false" customWidth="true" hidden="false" outlineLevel="0" max="12" min="12" style="0" width="22"/>
    <col collapsed="false" customWidth="true" hidden="false" outlineLevel="0" max="13" min="13" style="0" width="30"/>
  </cols>
  <sheetData>
    <row r="1" customFormat="false" ht="27.75" hidden="false" customHeight="true" outlineLevel="0" collapsed="false">
      <c r="A1" s="1" t="s">
        <v>411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1</v>
      </c>
      <c r="B2" s="2" t="s">
        <v>412</v>
      </c>
      <c r="C2" s="2" t="s">
        <v>413</v>
      </c>
      <c r="D2" s="2" t="s">
        <v>414</v>
      </c>
      <c r="E2" s="2" t="s">
        <v>415</v>
      </c>
      <c r="F2" s="2" t="s">
        <v>416</v>
      </c>
      <c r="G2" s="2" t="s">
        <v>417</v>
      </c>
      <c r="H2" s="2" t="s">
        <v>418</v>
      </c>
      <c r="I2" s="2" t="s">
        <v>419</v>
      </c>
      <c r="J2" s="2" t="s">
        <v>420</v>
      </c>
      <c r="K2" s="2" t="s">
        <v>421</v>
      </c>
      <c r="L2" s="2" t="s">
        <v>422</v>
      </c>
      <c r="M2" s="2" t="s">
        <v>423</v>
      </c>
    </row>
    <row r="3" customFormat="false" ht="15" hidden="false" customHeight="false" outlineLevel="0" collapsed="false">
      <c r="A3" s="3" t="s">
        <v>14</v>
      </c>
      <c r="B3" s="3" t="s">
        <v>424</v>
      </c>
      <c r="C3" s="3" t="s">
        <v>425</v>
      </c>
      <c r="D3" s="3" t="s">
        <v>426</v>
      </c>
      <c r="E3" s="3" t="s">
        <v>427</v>
      </c>
      <c r="F3" s="3" t="s">
        <v>428</v>
      </c>
      <c r="G3" s="3" t="s">
        <v>429</v>
      </c>
      <c r="H3" s="3" t="s">
        <v>430</v>
      </c>
      <c r="I3" s="3" t="n">
        <v>65</v>
      </c>
      <c r="J3" s="3" t="n">
        <v>31.1</v>
      </c>
      <c r="K3" s="3" t="s">
        <v>431</v>
      </c>
      <c r="L3" s="3" t="s">
        <v>189</v>
      </c>
      <c r="M3" s="3" t="s">
        <v>432</v>
      </c>
    </row>
    <row r="4" customFormat="false" ht="15" hidden="false" customHeight="false" outlineLevel="0" collapsed="false">
      <c r="A4" s="4" t="s">
        <v>26</v>
      </c>
      <c r="B4" s="4" t="s">
        <v>433</v>
      </c>
      <c r="C4" s="4" t="s">
        <v>434</v>
      </c>
      <c r="D4" s="4" t="s">
        <v>426</v>
      </c>
      <c r="E4" s="4" t="s">
        <v>435</v>
      </c>
      <c r="F4" s="4" t="s">
        <v>436</v>
      </c>
      <c r="G4" s="4" t="s">
        <v>437</v>
      </c>
      <c r="H4" s="4" t="s">
        <v>438</v>
      </c>
      <c r="I4" s="4" t="n">
        <v>70</v>
      </c>
      <c r="J4" s="4" t="n">
        <v>36.5</v>
      </c>
      <c r="K4" s="4" t="s">
        <v>439</v>
      </c>
      <c r="L4" s="4" t="s">
        <v>440</v>
      </c>
      <c r="M4" s="4" t="s">
        <v>441</v>
      </c>
    </row>
    <row r="5" customFormat="false" ht="15" hidden="false" customHeight="false" outlineLevel="0" collapsed="false">
      <c r="A5" s="3" t="s">
        <v>37</v>
      </c>
      <c r="B5" s="3" t="s">
        <v>442</v>
      </c>
      <c r="C5" s="3" t="s">
        <v>443</v>
      </c>
      <c r="D5" s="3" t="s">
        <v>443</v>
      </c>
      <c r="E5" s="3" t="s">
        <v>444</v>
      </c>
      <c r="F5" s="3" t="s">
        <v>445</v>
      </c>
      <c r="G5" s="3" t="s">
        <v>446</v>
      </c>
      <c r="H5" s="3" t="s">
        <v>447</v>
      </c>
      <c r="I5" s="3" t="n">
        <v>100</v>
      </c>
      <c r="J5" s="3" t="n">
        <v>28</v>
      </c>
      <c r="K5" s="3" t="s">
        <v>431</v>
      </c>
      <c r="L5" s="3" t="s">
        <v>320</v>
      </c>
      <c r="M5" s="3" t="s">
        <v>448</v>
      </c>
    </row>
    <row r="6" customFormat="false" ht="15" hidden="false" customHeight="false" outlineLevel="0" collapsed="false">
      <c r="A6" s="4" t="s">
        <v>49</v>
      </c>
      <c r="B6" s="4" t="s">
        <v>449</v>
      </c>
      <c r="C6" s="4" t="s">
        <v>443</v>
      </c>
      <c r="D6" s="4" t="s">
        <v>450</v>
      </c>
      <c r="E6" s="4" t="s">
        <v>451</v>
      </c>
      <c r="F6" s="4" t="s">
        <v>445</v>
      </c>
      <c r="G6" s="4" t="s">
        <v>429</v>
      </c>
      <c r="H6" s="4" t="s">
        <v>452</v>
      </c>
      <c r="I6" s="4" t="n">
        <v>94</v>
      </c>
      <c r="J6" s="4" t="n">
        <v>26</v>
      </c>
      <c r="K6" s="4" t="s">
        <v>453</v>
      </c>
      <c r="L6" s="4" t="s">
        <v>454</v>
      </c>
      <c r="M6" s="4" t="s">
        <v>455</v>
      </c>
    </row>
    <row r="7" customFormat="false" ht="15" hidden="false" customHeight="false" outlineLevel="0" collapsed="false">
      <c r="A7" s="3" t="s">
        <v>59</v>
      </c>
      <c r="B7" s="3" t="s">
        <v>456</v>
      </c>
      <c r="C7" s="3" t="s">
        <v>450</v>
      </c>
      <c r="D7" s="3" t="s">
        <v>457</v>
      </c>
      <c r="E7" s="3" t="s">
        <v>451</v>
      </c>
      <c r="F7" s="3" t="s">
        <v>428</v>
      </c>
      <c r="G7" s="3" t="s">
        <v>458</v>
      </c>
      <c r="H7" s="3" t="s">
        <v>459</v>
      </c>
      <c r="I7" s="3" t="n">
        <v>95</v>
      </c>
      <c r="J7" s="3" t="n">
        <v>25</v>
      </c>
      <c r="K7" s="3" t="s">
        <v>460</v>
      </c>
      <c r="L7" s="3" t="s">
        <v>461</v>
      </c>
      <c r="M7" s="3" t="s">
        <v>432</v>
      </c>
    </row>
    <row r="8" customFormat="false" ht="15" hidden="false" customHeight="false" outlineLevel="0" collapsed="false">
      <c r="A8" s="4" t="s">
        <v>68</v>
      </c>
      <c r="B8" s="4" t="s">
        <v>462</v>
      </c>
      <c r="C8" s="4" t="s">
        <v>463</v>
      </c>
      <c r="D8" s="4" t="s">
        <v>464</v>
      </c>
      <c r="E8" s="4" t="s">
        <v>465</v>
      </c>
      <c r="F8" s="4" t="s">
        <v>466</v>
      </c>
      <c r="G8" s="4" t="s">
        <v>467</v>
      </c>
      <c r="H8" s="4" t="s">
        <v>468</v>
      </c>
      <c r="I8" s="4" t="n">
        <v>74</v>
      </c>
      <c r="J8" s="4" t="n">
        <v>25.1</v>
      </c>
      <c r="K8" s="4" t="s">
        <v>453</v>
      </c>
      <c r="L8" s="4" t="s">
        <v>469</v>
      </c>
      <c r="M8" s="4" t="s">
        <v>432</v>
      </c>
    </row>
    <row r="9" customFormat="false" ht="15" hidden="false" customHeight="false" outlineLevel="0" collapsed="false">
      <c r="A9" s="3" t="s">
        <v>79</v>
      </c>
      <c r="B9" s="3" t="s">
        <v>470</v>
      </c>
      <c r="C9" s="3" t="s">
        <v>471</v>
      </c>
      <c r="D9" s="3" t="s">
        <v>426</v>
      </c>
      <c r="E9" s="3" t="s">
        <v>472</v>
      </c>
      <c r="F9" s="3" t="s">
        <v>428</v>
      </c>
      <c r="G9" s="3" t="s">
        <v>437</v>
      </c>
      <c r="H9" s="3" t="s">
        <v>473</v>
      </c>
      <c r="I9" s="3" t="n">
        <v>98</v>
      </c>
      <c r="J9" s="3" t="n">
        <v>31.8</v>
      </c>
      <c r="K9" s="3" t="s">
        <v>474</v>
      </c>
      <c r="L9" s="3" t="s">
        <v>362</v>
      </c>
      <c r="M9" s="3" t="s">
        <v>475</v>
      </c>
    </row>
    <row r="10" customFormat="false" ht="15" hidden="false" customHeight="false" outlineLevel="0" collapsed="false">
      <c r="A10" s="4" t="s">
        <v>90</v>
      </c>
      <c r="B10" s="4" t="s">
        <v>476</v>
      </c>
      <c r="C10" s="4" t="s">
        <v>464</v>
      </c>
      <c r="D10" s="4" t="s">
        <v>477</v>
      </c>
      <c r="E10" s="4" t="s">
        <v>451</v>
      </c>
      <c r="F10" s="4" t="s">
        <v>466</v>
      </c>
      <c r="G10" s="4" t="s">
        <v>446</v>
      </c>
      <c r="H10" s="4" t="s">
        <v>478</v>
      </c>
      <c r="I10" s="4" t="n">
        <v>78</v>
      </c>
      <c r="J10" s="4" t="n">
        <v>34</v>
      </c>
      <c r="K10" s="4" t="s">
        <v>474</v>
      </c>
      <c r="L10" s="4" t="s">
        <v>479</v>
      </c>
      <c r="M10" s="4" t="s">
        <v>475</v>
      </c>
    </row>
    <row r="11" customFormat="false" ht="15" hidden="false" customHeight="false" outlineLevel="0" collapsed="false">
      <c r="A11" s="3" t="s">
        <v>99</v>
      </c>
      <c r="B11" s="3" t="s">
        <v>480</v>
      </c>
      <c r="C11" s="3" t="s">
        <v>481</v>
      </c>
      <c r="D11" s="3" t="s">
        <v>482</v>
      </c>
      <c r="E11" s="3" t="s">
        <v>483</v>
      </c>
      <c r="F11" s="3" t="s">
        <v>466</v>
      </c>
      <c r="G11" s="3" t="s">
        <v>467</v>
      </c>
      <c r="H11" s="3" t="s">
        <v>484</v>
      </c>
      <c r="I11" s="3" t="n">
        <v>82</v>
      </c>
      <c r="J11" s="3" t="n">
        <v>30.6</v>
      </c>
      <c r="K11" s="3" t="s">
        <v>431</v>
      </c>
      <c r="L11" s="3" t="s">
        <v>485</v>
      </c>
      <c r="M11" s="3" t="s">
        <v>486</v>
      </c>
    </row>
    <row r="12" customFormat="false" ht="15" hidden="false" customHeight="false" outlineLevel="0" collapsed="false">
      <c r="A12" s="4" t="s">
        <v>109</v>
      </c>
      <c r="B12" s="4" t="s">
        <v>487</v>
      </c>
      <c r="C12" s="4" t="s">
        <v>434</v>
      </c>
      <c r="D12" s="4" t="s">
        <v>443</v>
      </c>
      <c r="E12" s="4" t="s">
        <v>465</v>
      </c>
      <c r="F12" s="4" t="s">
        <v>428</v>
      </c>
      <c r="G12" s="4" t="s">
        <v>437</v>
      </c>
      <c r="H12" s="4" t="s">
        <v>488</v>
      </c>
      <c r="I12" s="4" t="n">
        <v>92</v>
      </c>
      <c r="J12" s="4" t="n">
        <v>21.6</v>
      </c>
      <c r="K12" s="4" t="s">
        <v>453</v>
      </c>
      <c r="L12" s="4" t="s">
        <v>108</v>
      </c>
      <c r="M12" s="4" t="s">
        <v>475</v>
      </c>
    </row>
    <row r="13" customFormat="false" ht="15" hidden="false" customHeight="false" outlineLevel="0" collapsed="false">
      <c r="A13" s="3" t="s">
        <v>117</v>
      </c>
      <c r="B13" s="3" t="s">
        <v>489</v>
      </c>
      <c r="C13" s="3" t="s">
        <v>457</v>
      </c>
      <c r="D13" s="3" t="s">
        <v>481</v>
      </c>
      <c r="E13" s="3" t="s">
        <v>427</v>
      </c>
      <c r="F13" s="3" t="s">
        <v>436</v>
      </c>
      <c r="G13" s="3" t="s">
        <v>467</v>
      </c>
      <c r="H13" s="3" t="s">
        <v>490</v>
      </c>
      <c r="I13" s="3" t="n">
        <v>94</v>
      </c>
      <c r="J13" s="3" t="n">
        <v>25.5</v>
      </c>
      <c r="K13" s="3" t="s">
        <v>474</v>
      </c>
      <c r="L13" s="3" t="s">
        <v>181</v>
      </c>
      <c r="M13" s="3" t="s">
        <v>475</v>
      </c>
    </row>
    <row r="14" customFormat="false" ht="15" hidden="false" customHeight="false" outlineLevel="0" collapsed="false">
      <c r="A14" s="4" t="s">
        <v>127</v>
      </c>
      <c r="B14" s="4" t="s">
        <v>491</v>
      </c>
      <c r="C14" s="4" t="s">
        <v>464</v>
      </c>
      <c r="D14" s="4" t="s">
        <v>492</v>
      </c>
      <c r="E14" s="4" t="s">
        <v>493</v>
      </c>
      <c r="F14" s="4" t="s">
        <v>436</v>
      </c>
      <c r="G14" s="4" t="s">
        <v>446</v>
      </c>
      <c r="H14" s="4" t="s">
        <v>494</v>
      </c>
      <c r="I14" s="4" t="n">
        <v>72</v>
      </c>
      <c r="J14" s="4" t="n">
        <v>30.3</v>
      </c>
      <c r="K14" s="4" t="s">
        <v>474</v>
      </c>
      <c r="L14" s="4" t="s">
        <v>210</v>
      </c>
      <c r="M14" s="4" t="s">
        <v>495</v>
      </c>
    </row>
    <row r="15" customFormat="false" ht="15" hidden="false" customHeight="false" outlineLevel="0" collapsed="false">
      <c r="A15" s="3" t="s">
        <v>136</v>
      </c>
      <c r="B15" s="3" t="s">
        <v>496</v>
      </c>
      <c r="C15" s="3" t="s">
        <v>471</v>
      </c>
      <c r="D15" s="3" t="s">
        <v>457</v>
      </c>
      <c r="E15" s="3" t="s">
        <v>465</v>
      </c>
      <c r="F15" s="3" t="s">
        <v>428</v>
      </c>
      <c r="G15" s="3" t="s">
        <v>437</v>
      </c>
      <c r="H15" s="3" t="s">
        <v>497</v>
      </c>
      <c r="I15" s="3" t="n">
        <v>86</v>
      </c>
      <c r="J15" s="3" t="n">
        <v>19.2</v>
      </c>
      <c r="K15" s="3" t="s">
        <v>474</v>
      </c>
      <c r="L15" s="3" t="s">
        <v>440</v>
      </c>
      <c r="M15" s="3" t="s">
        <v>441</v>
      </c>
    </row>
    <row r="16" customFormat="false" ht="15" hidden="false" customHeight="false" outlineLevel="0" collapsed="false">
      <c r="A16" s="4" t="s">
        <v>145</v>
      </c>
      <c r="B16" s="4" t="s">
        <v>498</v>
      </c>
      <c r="C16" s="4" t="s">
        <v>463</v>
      </c>
      <c r="D16" s="4" t="s">
        <v>481</v>
      </c>
      <c r="E16" s="4" t="s">
        <v>483</v>
      </c>
      <c r="F16" s="4" t="s">
        <v>445</v>
      </c>
      <c r="G16" s="4" t="s">
        <v>437</v>
      </c>
      <c r="H16" s="4" t="s">
        <v>499</v>
      </c>
      <c r="I16" s="4" t="n">
        <v>75</v>
      </c>
      <c r="J16" s="4" t="n">
        <v>34.7</v>
      </c>
      <c r="K16" s="4" t="s">
        <v>474</v>
      </c>
      <c r="L16" s="4" t="s">
        <v>189</v>
      </c>
      <c r="M16" s="4" t="s">
        <v>448</v>
      </c>
    </row>
    <row r="17" customFormat="false" ht="15" hidden="false" customHeight="false" outlineLevel="0" collapsed="false">
      <c r="A17" s="3" t="s">
        <v>153</v>
      </c>
      <c r="B17" s="3" t="s">
        <v>500</v>
      </c>
      <c r="C17" s="3" t="s">
        <v>463</v>
      </c>
      <c r="D17" s="3" t="s">
        <v>434</v>
      </c>
      <c r="E17" s="3" t="s">
        <v>465</v>
      </c>
      <c r="F17" s="3" t="s">
        <v>436</v>
      </c>
      <c r="G17" s="3" t="s">
        <v>437</v>
      </c>
      <c r="H17" s="3" t="s">
        <v>501</v>
      </c>
      <c r="I17" s="3" t="n">
        <v>83</v>
      </c>
      <c r="J17" s="3" t="n">
        <v>18.8</v>
      </c>
      <c r="K17" s="3" t="s">
        <v>439</v>
      </c>
      <c r="L17" s="3" t="s">
        <v>502</v>
      </c>
      <c r="M17" s="3" t="s">
        <v>448</v>
      </c>
    </row>
    <row r="18" customFormat="false" ht="15" hidden="false" customHeight="false" outlineLevel="0" collapsed="false">
      <c r="A18" s="4" t="s">
        <v>161</v>
      </c>
      <c r="B18" s="4" t="s">
        <v>503</v>
      </c>
      <c r="C18" s="4" t="s">
        <v>464</v>
      </c>
      <c r="D18" s="4" t="s">
        <v>471</v>
      </c>
      <c r="E18" s="4" t="s">
        <v>504</v>
      </c>
      <c r="F18" s="4" t="s">
        <v>466</v>
      </c>
      <c r="G18" s="4" t="s">
        <v>437</v>
      </c>
      <c r="H18" s="4" t="s">
        <v>505</v>
      </c>
      <c r="I18" s="4" t="n">
        <v>93</v>
      </c>
      <c r="J18" s="4" t="n">
        <v>24.9</v>
      </c>
      <c r="K18" s="4" t="s">
        <v>439</v>
      </c>
      <c r="L18" s="4" t="s">
        <v>362</v>
      </c>
      <c r="M18" s="4" t="s">
        <v>455</v>
      </c>
    </row>
    <row r="19" customFormat="false" ht="15" hidden="false" customHeight="false" outlineLevel="0" collapsed="false">
      <c r="A19" s="3" t="s">
        <v>168</v>
      </c>
      <c r="B19" s="3" t="s">
        <v>506</v>
      </c>
      <c r="C19" s="3" t="s">
        <v>492</v>
      </c>
      <c r="D19" s="3" t="s">
        <v>457</v>
      </c>
      <c r="E19" s="3" t="s">
        <v>444</v>
      </c>
      <c r="F19" s="3" t="s">
        <v>428</v>
      </c>
      <c r="G19" s="3" t="s">
        <v>446</v>
      </c>
      <c r="H19" s="3" t="s">
        <v>507</v>
      </c>
      <c r="I19" s="3" t="n">
        <v>64</v>
      </c>
      <c r="J19" s="3" t="n">
        <v>23.1</v>
      </c>
      <c r="K19" s="3" t="s">
        <v>439</v>
      </c>
      <c r="L19" s="3" t="s">
        <v>508</v>
      </c>
      <c r="M19" s="3" t="s">
        <v>455</v>
      </c>
    </row>
    <row r="20" customFormat="false" ht="15" hidden="false" customHeight="false" outlineLevel="0" collapsed="false">
      <c r="A20" s="4" t="s">
        <v>174</v>
      </c>
      <c r="B20" s="4" t="s">
        <v>509</v>
      </c>
      <c r="C20" s="4" t="s">
        <v>471</v>
      </c>
      <c r="D20" s="4" t="s">
        <v>426</v>
      </c>
      <c r="E20" s="4" t="s">
        <v>427</v>
      </c>
      <c r="F20" s="4" t="s">
        <v>466</v>
      </c>
      <c r="G20" s="4" t="s">
        <v>437</v>
      </c>
      <c r="H20" s="4" t="s">
        <v>510</v>
      </c>
      <c r="I20" s="4" t="n">
        <v>89</v>
      </c>
      <c r="J20" s="4" t="n">
        <v>30.5</v>
      </c>
      <c r="K20" s="4" t="s">
        <v>474</v>
      </c>
      <c r="L20" s="4" t="s">
        <v>454</v>
      </c>
      <c r="M20" s="4" t="s">
        <v>486</v>
      </c>
    </row>
    <row r="21" customFormat="false" ht="15" hidden="false" customHeight="false" outlineLevel="0" collapsed="false">
      <c r="A21" s="3" t="s">
        <v>182</v>
      </c>
      <c r="B21" s="3" t="s">
        <v>511</v>
      </c>
      <c r="C21" s="3" t="s">
        <v>464</v>
      </c>
      <c r="D21" s="3" t="s">
        <v>471</v>
      </c>
      <c r="E21" s="3" t="s">
        <v>504</v>
      </c>
      <c r="F21" s="3" t="s">
        <v>445</v>
      </c>
      <c r="G21" s="3" t="s">
        <v>437</v>
      </c>
      <c r="H21" s="3" t="s">
        <v>512</v>
      </c>
      <c r="I21" s="3" t="n">
        <v>61</v>
      </c>
      <c r="J21" s="3" t="n">
        <v>26.3</v>
      </c>
      <c r="K21" s="3" t="s">
        <v>431</v>
      </c>
      <c r="L21" s="3" t="s">
        <v>502</v>
      </c>
      <c r="M21" s="3" t="s">
        <v>513</v>
      </c>
    </row>
    <row r="22" customFormat="false" ht="15" hidden="false" customHeight="false" outlineLevel="0" collapsed="false">
      <c r="A22" s="4" t="s">
        <v>190</v>
      </c>
      <c r="B22" s="4" t="s">
        <v>514</v>
      </c>
      <c r="C22" s="4" t="s">
        <v>515</v>
      </c>
      <c r="D22" s="4" t="s">
        <v>425</v>
      </c>
      <c r="E22" s="4" t="s">
        <v>444</v>
      </c>
      <c r="F22" s="4" t="s">
        <v>445</v>
      </c>
      <c r="G22" s="4" t="s">
        <v>429</v>
      </c>
      <c r="H22" s="4" t="s">
        <v>516</v>
      </c>
      <c r="I22" s="4" t="n">
        <v>94</v>
      </c>
      <c r="J22" s="4" t="n">
        <v>22.5</v>
      </c>
      <c r="K22" s="4" t="s">
        <v>439</v>
      </c>
      <c r="L22" s="4" t="s">
        <v>210</v>
      </c>
      <c r="M22" s="4" t="s">
        <v>486</v>
      </c>
    </row>
    <row r="23" customFormat="false" ht="15" hidden="false" customHeight="false" outlineLevel="0" collapsed="false">
      <c r="A23" s="3" t="s">
        <v>197</v>
      </c>
      <c r="B23" s="3" t="s">
        <v>517</v>
      </c>
      <c r="C23" s="3" t="s">
        <v>518</v>
      </c>
      <c r="D23" s="3" t="s">
        <v>425</v>
      </c>
      <c r="E23" s="3" t="s">
        <v>519</v>
      </c>
      <c r="F23" s="3" t="s">
        <v>466</v>
      </c>
      <c r="G23" s="3" t="s">
        <v>458</v>
      </c>
      <c r="H23" s="3" t="s">
        <v>520</v>
      </c>
      <c r="I23" s="3" t="n">
        <v>69</v>
      </c>
      <c r="J23" s="3" t="n">
        <v>20.6</v>
      </c>
      <c r="K23" s="3" t="s">
        <v>460</v>
      </c>
      <c r="L23" s="3" t="s">
        <v>254</v>
      </c>
      <c r="M23" s="3" t="s">
        <v>448</v>
      </c>
    </row>
    <row r="24" customFormat="false" ht="15" hidden="false" customHeight="false" outlineLevel="0" collapsed="false">
      <c r="A24" s="4" t="s">
        <v>204</v>
      </c>
      <c r="B24" s="4" t="s">
        <v>521</v>
      </c>
      <c r="C24" s="4" t="s">
        <v>425</v>
      </c>
      <c r="D24" s="4" t="s">
        <v>482</v>
      </c>
      <c r="E24" s="4" t="s">
        <v>519</v>
      </c>
      <c r="F24" s="4" t="s">
        <v>428</v>
      </c>
      <c r="G24" s="4" t="s">
        <v>458</v>
      </c>
      <c r="H24" s="4" t="s">
        <v>522</v>
      </c>
      <c r="I24" s="4" t="n">
        <v>91</v>
      </c>
      <c r="J24" s="4" t="n">
        <v>20.7</v>
      </c>
      <c r="K24" s="4" t="s">
        <v>460</v>
      </c>
      <c r="L24" s="4" t="s">
        <v>320</v>
      </c>
      <c r="M24" s="4" t="s">
        <v>448</v>
      </c>
    </row>
    <row r="25" customFormat="false" ht="15" hidden="false" customHeight="false" outlineLevel="0" collapsed="false">
      <c r="A25" s="3" t="s">
        <v>211</v>
      </c>
      <c r="B25" s="3" t="s">
        <v>523</v>
      </c>
      <c r="C25" s="3" t="s">
        <v>477</v>
      </c>
      <c r="D25" s="3" t="s">
        <v>492</v>
      </c>
      <c r="E25" s="3" t="s">
        <v>524</v>
      </c>
      <c r="F25" s="3" t="s">
        <v>445</v>
      </c>
      <c r="G25" s="3" t="s">
        <v>437</v>
      </c>
      <c r="H25" s="3" t="s">
        <v>525</v>
      </c>
      <c r="I25" s="3" t="n">
        <v>59</v>
      </c>
      <c r="J25" s="3" t="n">
        <v>19.7</v>
      </c>
      <c r="K25" s="3" t="s">
        <v>453</v>
      </c>
      <c r="L25" s="3" t="s">
        <v>526</v>
      </c>
      <c r="M25" s="3" t="s">
        <v>513</v>
      </c>
    </row>
    <row r="26" customFormat="false" ht="15" hidden="false" customHeight="false" outlineLevel="0" collapsed="false">
      <c r="A26" s="4" t="s">
        <v>218</v>
      </c>
      <c r="B26" s="4" t="s">
        <v>527</v>
      </c>
      <c r="C26" s="4" t="s">
        <v>492</v>
      </c>
      <c r="D26" s="4" t="s">
        <v>463</v>
      </c>
      <c r="E26" s="4" t="s">
        <v>528</v>
      </c>
      <c r="F26" s="4" t="s">
        <v>466</v>
      </c>
      <c r="G26" s="4" t="s">
        <v>467</v>
      </c>
      <c r="H26" s="4" t="s">
        <v>529</v>
      </c>
      <c r="I26" s="4" t="n">
        <v>97</v>
      </c>
      <c r="J26" s="4" t="n">
        <v>30.8</v>
      </c>
      <c r="K26" s="4" t="s">
        <v>439</v>
      </c>
      <c r="L26" s="4" t="s">
        <v>530</v>
      </c>
      <c r="M26" s="4" t="s">
        <v>495</v>
      </c>
    </row>
    <row r="27" customFormat="false" ht="15" hidden="false" customHeight="false" outlineLevel="0" collapsed="false">
      <c r="A27" s="3" t="s">
        <v>225</v>
      </c>
      <c r="B27" s="3" t="s">
        <v>531</v>
      </c>
      <c r="C27" s="3" t="s">
        <v>515</v>
      </c>
      <c r="D27" s="3" t="s">
        <v>464</v>
      </c>
      <c r="E27" s="3" t="s">
        <v>504</v>
      </c>
      <c r="F27" s="3" t="s">
        <v>428</v>
      </c>
      <c r="G27" s="3" t="s">
        <v>437</v>
      </c>
      <c r="H27" s="3" t="s">
        <v>532</v>
      </c>
      <c r="I27" s="3" t="n">
        <v>71</v>
      </c>
      <c r="J27" s="3" t="n">
        <v>26.9</v>
      </c>
      <c r="K27" s="3" t="s">
        <v>431</v>
      </c>
      <c r="L27" s="3" t="s">
        <v>36</v>
      </c>
      <c r="M27" s="3" t="s">
        <v>455</v>
      </c>
    </row>
    <row r="28" customFormat="false" ht="15" hidden="false" customHeight="false" outlineLevel="0" collapsed="false">
      <c r="A28" s="4" t="s">
        <v>232</v>
      </c>
      <c r="B28" s="4" t="s">
        <v>533</v>
      </c>
      <c r="C28" s="4" t="s">
        <v>492</v>
      </c>
      <c r="D28" s="4" t="s">
        <v>534</v>
      </c>
      <c r="E28" s="4" t="s">
        <v>427</v>
      </c>
      <c r="F28" s="4" t="s">
        <v>445</v>
      </c>
      <c r="G28" s="4" t="s">
        <v>446</v>
      </c>
      <c r="H28" s="4" t="s">
        <v>535</v>
      </c>
      <c r="I28" s="4" t="n">
        <v>67</v>
      </c>
      <c r="J28" s="4" t="n">
        <v>31.9</v>
      </c>
      <c r="K28" s="4" t="s">
        <v>453</v>
      </c>
      <c r="L28" s="4" t="s">
        <v>536</v>
      </c>
      <c r="M28" s="4" t="s">
        <v>513</v>
      </c>
    </row>
    <row r="29" customFormat="false" ht="15" hidden="false" customHeight="false" outlineLevel="0" collapsed="false">
      <c r="A29" s="3" t="s">
        <v>240</v>
      </c>
      <c r="B29" s="3" t="s">
        <v>537</v>
      </c>
      <c r="C29" s="3" t="s">
        <v>471</v>
      </c>
      <c r="D29" s="3" t="s">
        <v>471</v>
      </c>
      <c r="E29" s="3" t="s">
        <v>483</v>
      </c>
      <c r="F29" s="3" t="s">
        <v>428</v>
      </c>
      <c r="G29" s="3" t="s">
        <v>437</v>
      </c>
      <c r="H29" s="3" t="s">
        <v>538</v>
      </c>
      <c r="I29" s="3" t="n">
        <v>79</v>
      </c>
      <c r="J29" s="3" t="n">
        <v>31.6</v>
      </c>
      <c r="K29" s="3" t="s">
        <v>453</v>
      </c>
      <c r="L29" s="3" t="s">
        <v>530</v>
      </c>
      <c r="M29" s="3" t="s">
        <v>539</v>
      </c>
    </row>
    <row r="30" customFormat="false" ht="15" hidden="false" customHeight="false" outlineLevel="0" collapsed="false">
      <c r="A30" s="4" t="s">
        <v>248</v>
      </c>
      <c r="B30" s="4" t="s">
        <v>540</v>
      </c>
      <c r="C30" s="4" t="s">
        <v>482</v>
      </c>
      <c r="D30" s="4" t="s">
        <v>477</v>
      </c>
      <c r="E30" s="4" t="s">
        <v>493</v>
      </c>
      <c r="F30" s="4" t="s">
        <v>466</v>
      </c>
      <c r="G30" s="4" t="s">
        <v>458</v>
      </c>
      <c r="H30" s="4" t="s">
        <v>541</v>
      </c>
      <c r="I30" s="4" t="n">
        <v>72</v>
      </c>
      <c r="J30" s="4" t="n">
        <v>35</v>
      </c>
      <c r="K30" s="4" t="s">
        <v>474</v>
      </c>
      <c r="L30" s="4" t="s">
        <v>269</v>
      </c>
      <c r="M30" s="4" t="s">
        <v>441</v>
      </c>
    </row>
    <row r="31" customFormat="false" ht="15" hidden="false" customHeight="false" outlineLevel="0" collapsed="false">
      <c r="A31" s="3" t="s">
        <v>255</v>
      </c>
      <c r="B31" s="3" t="s">
        <v>542</v>
      </c>
      <c r="C31" s="3" t="s">
        <v>443</v>
      </c>
      <c r="D31" s="3" t="s">
        <v>426</v>
      </c>
      <c r="E31" s="3" t="s">
        <v>444</v>
      </c>
      <c r="F31" s="3" t="s">
        <v>445</v>
      </c>
      <c r="G31" s="3" t="s">
        <v>437</v>
      </c>
      <c r="H31" s="3" t="s">
        <v>543</v>
      </c>
      <c r="I31" s="3" t="n">
        <v>102</v>
      </c>
      <c r="J31" s="3" t="n">
        <v>33.4</v>
      </c>
      <c r="K31" s="3" t="s">
        <v>474</v>
      </c>
      <c r="L31" s="3" t="s">
        <v>67</v>
      </c>
      <c r="M31" s="3" t="s">
        <v>544</v>
      </c>
    </row>
    <row r="32" customFormat="false" ht="15" hidden="false" customHeight="false" outlineLevel="0" collapsed="false">
      <c r="A32" s="4" t="s">
        <v>262</v>
      </c>
      <c r="B32" s="4" t="s">
        <v>545</v>
      </c>
      <c r="C32" s="4" t="s">
        <v>481</v>
      </c>
      <c r="D32" s="4" t="s">
        <v>463</v>
      </c>
      <c r="E32" s="4" t="s">
        <v>483</v>
      </c>
      <c r="F32" s="4" t="s">
        <v>428</v>
      </c>
      <c r="G32" s="4" t="s">
        <v>467</v>
      </c>
      <c r="H32" s="4" t="s">
        <v>546</v>
      </c>
      <c r="I32" s="4" t="n">
        <v>71</v>
      </c>
      <c r="J32" s="4" t="n">
        <v>25.8</v>
      </c>
      <c r="K32" s="4" t="s">
        <v>453</v>
      </c>
      <c r="L32" s="4" t="s">
        <v>58</v>
      </c>
      <c r="M32" s="4" t="s">
        <v>448</v>
      </c>
    </row>
    <row r="33" customFormat="false" ht="15" hidden="false" customHeight="false" outlineLevel="0" collapsed="false">
      <c r="A33" s="3" t="s">
        <v>270</v>
      </c>
      <c r="B33" s="3" t="s">
        <v>547</v>
      </c>
      <c r="C33" s="3" t="s">
        <v>450</v>
      </c>
      <c r="D33" s="3" t="s">
        <v>463</v>
      </c>
      <c r="E33" s="3" t="s">
        <v>444</v>
      </c>
      <c r="F33" s="3" t="s">
        <v>466</v>
      </c>
      <c r="G33" s="3" t="s">
        <v>458</v>
      </c>
      <c r="H33" s="3" t="s">
        <v>548</v>
      </c>
      <c r="I33" s="3" t="n">
        <v>61</v>
      </c>
      <c r="J33" s="3" t="n">
        <v>31.6</v>
      </c>
      <c r="K33" s="3" t="s">
        <v>474</v>
      </c>
      <c r="L33" s="3" t="s">
        <v>261</v>
      </c>
      <c r="M33" s="3" t="s">
        <v>455</v>
      </c>
    </row>
    <row r="34" customFormat="false" ht="15" hidden="false" customHeight="false" outlineLevel="0" collapsed="false">
      <c r="A34" s="4" t="s">
        <v>277</v>
      </c>
      <c r="B34" s="4" t="s">
        <v>549</v>
      </c>
      <c r="C34" s="4" t="s">
        <v>477</v>
      </c>
      <c r="D34" s="4" t="s">
        <v>426</v>
      </c>
      <c r="E34" s="4" t="s">
        <v>504</v>
      </c>
      <c r="F34" s="4" t="s">
        <v>445</v>
      </c>
      <c r="G34" s="4" t="s">
        <v>437</v>
      </c>
      <c r="H34" s="4" t="s">
        <v>550</v>
      </c>
      <c r="I34" s="4" t="n">
        <v>101</v>
      </c>
      <c r="J34" s="4" t="n">
        <v>31.7</v>
      </c>
      <c r="K34" s="4" t="s">
        <v>453</v>
      </c>
      <c r="L34" s="4" t="s">
        <v>181</v>
      </c>
      <c r="M34" s="4" t="s">
        <v>486</v>
      </c>
    </row>
    <row r="35" customFormat="false" ht="15" hidden="false" customHeight="false" outlineLevel="0" collapsed="false">
      <c r="A35" s="3" t="s">
        <v>284</v>
      </c>
      <c r="B35" s="3" t="s">
        <v>551</v>
      </c>
      <c r="C35" s="3" t="s">
        <v>425</v>
      </c>
      <c r="D35" s="3" t="s">
        <v>481</v>
      </c>
      <c r="E35" s="3" t="s">
        <v>519</v>
      </c>
      <c r="F35" s="3" t="s">
        <v>466</v>
      </c>
      <c r="G35" s="3" t="s">
        <v>458</v>
      </c>
      <c r="H35" s="3" t="s">
        <v>552</v>
      </c>
      <c r="I35" s="3" t="n">
        <v>76</v>
      </c>
      <c r="J35" s="3" t="n">
        <v>24.9</v>
      </c>
      <c r="K35" s="3" t="s">
        <v>460</v>
      </c>
      <c r="L35" s="3" t="s">
        <v>261</v>
      </c>
      <c r="M35" s="3" t="s">
        <v>544</v>
      </c>
    </row>
    <row r="36" customFormat="false" ht="15" hidden="false" customHeight="false" outlineLevel="0" collapsed="false">
      <c r="A36" s="4" t="s">
        <v>292</v>
      </c>
      <c r="B36" s="4" t="s">
        <v>553</v>
      </c>
      <c r="C36" s="4" t="s">
        <v>471</v>
      </c>
      <c r="D36" s="4" t="s">
        <v>434</v>
      </c>
      <c r="E36" s="4" t="s">
        <v>472</v>
      </c>
      <c r="F36" s="4" t="s">
        <v>445</v>
      </c>
      <c r="G36" s="4" t="s">
        <v>467</v>
      </c>
      <c r="H36" s="4" t="s">
        <v>554</v>
      </c>
      <c r="I36" s="4" t="n">
        <v>105</v>
      </c>
      <c r="J36" s="4" t="n">
        <v>19.3</v>
      </c>
      <c r="K36" s="4" t="s">
        <v>460</v>
      </c>
      <c r="L36" s="4" t="s">
        <v>461</v>
      </c>
      <c r="M36" s="4" t="s">
        <v>448</v>
      </c>
    </row>
    <row r="37" customFormat="false" ht="15" hidden="false" customHeight="false" outlineLevel="0" collapsed="false">
      <c r="A37" s="3" t="s">
        <v>299</v>
      </c>
      <c r="B37" s="3" t="s">
        <v>555</v>
      </c>
      <c r="C37" s="3" t="s">
        <v>471</v>
      </c>
      <c r="D37" s="3" t="s">
        <v>464</v>
      </c>
      <c r="E37" s="3" t="s">
        <v>519</v>
      </c>
      <c r="F37" s="3" t="s">
        <v>428</v>
      </c>
      <c r="G37" s="3" t="s">
        <v>437</v>
      </c>
      <c r="H37" s="3" t="s">
        <v>556</v>
      </c>
      <c r="I37" s="3" t="n">
        <v>78</v>
      </c>
      <c r="J37" s="3" t="n">
        <v>21.9</v>
      </c>
      <c r="K37" s="3" t="s">
        <v>439</v>
      </c>
      <c r="L37" s="3" t="s">
        <v>557</v>
      </c>
      <c r="M37" s="3" t="s">
        <v>513</v>
      </c>
    </row>
    <row r="38" customFormat="false" ht="15" hidden="false" customHeight="false" outlineLevel="0" collapsed="false">
      <c r="A38" s="4" t="s">
        <v>306</v>
      </c>
      <c r="B38" s="4" t="s">
        <v>558</v>
      </c>
      <c r="C38" s="4" t="s">
        <v>481</v>
      </c>
      <c r="D38" s="4" t="s">
        <v>450</v>
      </c>
      <c r="E38" s="4" t="s">
        <v>472</v>
      </c>
      <c r="F38" s="4" t="s">
        <v>428</v>
      </c>
      <c r="G38" s="4" t="s">
        <v>437</v>
      </c>
      <c r="H38" s="4" t="s">
        <v>559</v>
      </c>
      <c r="I38" s="4" t="n">
        <v>79</v>
      </c>
      <c r="J38" s="4" t="n">
        <v>22.8</v>
      </c>
      <c r="K38" s="4" t="s">
        <v>431</v>
      </c>
      <c r="L38" s="4" t="s">
        <v>536</v>
      </c>
      <c r="M38" s="4" t="s">
        <v>432</v>
      </c>
    </row>
    <row r="39" customFormat="false" ht="15" hidden="false" customHeight="false" outlineLevel="0" collapsed="false">
      <c r="A39" s="3" t="s">
        <v>312</v>
      </c>
      <c r="B39" s="3" t="s">
        <v>560</v>
      </c>
      <c r="C39" s="3" t="s">
        <v>471</v>
      </c>
      <c r="D39" s="3" t="s">
        <v>457</v>
      </c>
      <c r="E39" s="3" t="s">
        <v>435</v>
      </c>
      <c r="F39" s="3" t="s">
        <v>428</v>
      </c>
      <c r="G39" s="3" t="s">
        <v>458</v>
      </c>
      <c r="H39" s="3" t="s">
        <v>561</v>
      </c>
      <c r="I39" s="3" t="n">
        <v>69</v>
      </c>
      <c r="J39" s="3" t="n">
        <v>30.2</v>
      </c>
      <c r="K39" s="3" t="s">
        <v>460</v>
      </c>
      <c r="L39" s="3" t="s">
        <v>562</v>
      </c>
      <c r="M39" s="3" t="s">
        <v>455</v>
      </c>
    </row>
    <row r="40" customFormat="false" ht="15" hidden="false" customHeight="false" outlineLevel="0" collapsed="false">
      <c r="A40" s="4" t="s">
        <v>321</v>
      </c>
      <c r="B40" s="4" t="s">
        <v>563</v>
      </c>
      <c r="C40" s="4" t="s">
        <v>534</v>
      </c>
      <c r="D40" s="4" t="s">
        <v>534</v>
      </c>
      <c r="E40" s="4" t="s">
        <v>465</v>
      </c>
      <c r="F40" s="4" t="s">
        <v>445</v>
      </c>
      <c r="G40" s="4" t="s">
        <v>458</v>
      </c>
      <c r="H40" s="4" t="s">
        <v>564</v>
      </c>
      <c r="I40" s="4" t="n">
        <v>88</v>
      </c>
      <c r="J40" s="4" t="n">
        <v>27.1</v>
      </c>
      <c r="K40" s="4" t="s">
        <v>474</v>
      </c>
      <c r="L40" s="4" t="s">
        <v>181</v>
      </c>
      <c r="M40" s="4" t="s">
        <v>448</v>
      </c>
    </row>
    <row r="41" customFormat="false" ht="15" hidden="false" customHeight="false" outlineLevel="0" collapsed="false">
      <c r="A41" s="3" t="s">
        <v>328</v>
      </c>
      <c r="B41" s="3" t="s">
        <v>565</v>
      </c>
      <c r="C41" s="3" t="s">
        <v>434</v>
      </c>
      <c r="D41" s="3" t="s">
        <v>492</v>
      </c>
      <c r="E41" s="3" t="s">
        <v>444</v>
      </c>
      <c r="F41" s="3" t="s">
        <v>445</v>
      </c>
      <c r="G41" s="3" t="s">
        <v>446</v>
      </c>
      <c r="H41" s="3" t="s">
        <v>566</v>
      </c>
      <c r="I41" s="3" t="n">
        <v>63</v>
      </c>
      <c r="J41" s="3" t="n">
        <v>30.5</v>
      </c>
      <c r="K41" s="3" t="s">
        <v>439</v>
      </c>
      <c r="L41" s="3" t="s">
        <v>89</v>
      </c>
      <c r="M41" s="3" t="s">
        <v>495</v>
      </c>
    </row>
    <row r="42" customFormat="false" ht="15" hidden="false" customHeight="false" outlineLevel="0" collapsed="false">
      <c r="A42" s="4" t="s">
        <v>335</v>
      </c>
      <c r="B42" s="4" t="s">
        <v>567</v>
      </c>
      <c r="C42" s="4" t="s">
        <v>515</v>
      </c>
      <c r="D42" s="4" t="s">
        <v>481</v>
      </c>
      <c r="E42" s="4" t="s">
        <v>528</v>
      </c>
      <c r="F42" s="4" t="s">
        <v>436</v>
      </c>
      <c r="G42" s="4" t="s">
        <v>437</v>
      </c>
      <c r="H42" s="4" t="s">
        <v>568</v>
      </c>
      <c r="I42" s="4" t="n">
        <v>61</v>
      </c>
      <c r="J42" s="4" t="n">
        <v>27.3</v>
      </c>
      <c r="K42" s="4" t="s">
        <v>474</v>
      </c>
      <c r="L42" s="4" t="s">
        <v>196</v>
      </c>
      <c r="M42" s="4" t="s">
        <v>539</v>
      </c>
    </row>
    <row r="43" customFormat="false" ht="15" hidden="false" customHeight="false" outlineLevel="0" collapsed="false">
      <c r="A43" s="3" t="s">
        <v>341</v>
      </c>
      <c r="B43" s="3" t="s">
        <v>569</v>
      </c>
      <c r="C43" s="3" t="s">
        <v>434</v>
      </c>
      <c r="D43" s="3" t="s">
        <v>426</v>
      </c>
      <c r="E43" s="3" t="s">
        <v>472</v>
      </c>
      <c r="F43" s="3" t="s">
        <v>466</v>
      </c>
      <c r="G43" s="3" t="s">
        <v>570</v>
      </c>
      <c r="H43" s="3" t="s">
        <v>571</v>
      </c>
      <c r="I43" s="3" t="n">
        <v>76</v>
      </c>
      <c r="J43" s="3" t="n">
        <v>26.1</v>
      </c>
      <c r="K43" s="3" t="s">
        <v>474</v>
      </c>
      <c r="L43" s="3" t="s">
        <v>454</v>
      </c>
      <c r="M43" s="3" t="s">
        <v>513</v>
      </c>
    </row>
    <row r="44" customFormat="false" ht="15" hidden="false" customHeight="false" outlineLevel="0" collapsed="false">
      <c r="A44" s="4" t="s">
        <v>348</v>
      </c>
      <c r="B44" s="4" t="s">
        <v>572</v>
      </c>
      <c r="C44" s="4" t="s">
        <v>534</v>
      </c>
      <c r="D44" s="4" t="s">
        <v>450</v>
      </c>
      <c r="E44" s="4" t="s">
        <v>519</v>
      </c>
      <c r="F44" s="4" t="s">
        <v>445</v>
      </c>
      <c r="G44" s="4" t="s">
        <v>437</v>
      </c>
      <c r="H44" s="4" t="s">
        <v>573</v>
      </c>
      <c r="I44" s="4" t="n">
        <v>63</v>
      </c>
      <c r="J44" s="4" t="n">
        <v>29.9</v>
      </c>
      <c r="K44" s="4" t="s">
        <v>431</v>
      </c>
      <c r="L44" s="4" t="s">
        <v>108</v>
      </c>
      <c r="M44" s="4" t="s">
        <v>475</v>
      </c>
    </row>
    <row r="45" customFormat="false" ht="15" hidden="false" customHeight="false" outlineLevel="0" collapsed="false">
      <c r="A45" s="3" t="s">
        <v>356</v>
      </c>
      <c r="B45" s="3" t="s">
        <v>574</v>
      </c>
      <c r="C45" s="3" t="s">
        <v>492</v>
      </c>
      <c r="D45" s="3" t="s">
        <v>515</v>
      </c>
      <c r="E45" s="3" t="s">
        <v>472</v>
      </c>
      <c r="F45" s="3" t="s">
        <v>436</v>
      </c>
      <c r="G45" s="3" t="s">
        <v>570</v>
      </c>
      <c r="H45" s="3" t="s">
        <v>575</v>
      </c>
      <c r="I45" s="3" t="n">
        <v>102</v>
      </c>
      <c r="J45" s="3" t="n">
        <v>34.7</v>
      </c>
      <c r="K45" s="3" t="s">
        <v>439</v>
      </c>
      <c r="L45" s="3" t="s">
        <v>576</v>
      </c>
      <c r="M45" s="3" t="s">
        <v>432</v>
      </c>
    </row>
    <row r="46" customFormat="false" ht="15" hidden="false" customHeight="false" outlineLevel="0" collapsed="false">
      <c r="A46" s="4" t="s">
        <v>363</v>
      </c>
      <c r="B46" s="4" t="s">
        <v>577</v>
      </c>
      <c r="C46" s="4" t="s">
        <v>457</v>
      </c>
      <c r="D46" s="4" t="s">
        <v>482</v>
      </c>
      <c r="E46" s="4" t="s">
        <v>435</v>
      </c>
      <c r="F46" s="4" t="s">
        <v>445</v>
      </c>
      <c r="G46" s="4" t="s">
        <v>437</v>
      </c>
      <c r="H46" s="4" t="s">
        <v>578</v>
      </c>
      <c r="I46" s="4" t="n">
        <v>66</v>
      </c>
      <c r="J46" s="4" t="n">
        <v>21.5</v>
      </c>
      <c r="K46" s="4" t="s">
        <v>474</v>
      </c>
      <c r="L46" s="4" t="s">
        <v>126</v>
      </c>
      <c r="M46" s="4" t="s">
        <v>448</v>
      </c>
    </row>
    <row r="47" customFormat="false" ht="15" hidden="false" customHeight="false" outlineLevel="0" collapsed="false">
      <c r="A47" s="3" t="s">
        <v>371</v>
      </c>
      <c r="B47" s="3" t="s">
        <v>579</v>
      </c>
      <c r="C47" s="3" t="s">
        <v>463</v>
      </c>
      <c r="D47" s="3" t="s">
        <v>482</v>
      </c>
      <c r="E47" s="3" t="s">
        <v>483</v>
      </c>
      <c r="F47" s="3" t="s">
        <v>466</v>
      </c>
      <c r="G47" s="3" t="s">
        <v>437</v>
      </c>
      <c r="H47" s="3" t="s">
        <v>580</v>
      </c>
      <c r="I47" s="3" t="n">
        <v>81</v>
      </c>
      <c r="J47" s="3" t="n">
        <v>31.7</v>
      </c>
      <c r="K47" s="3" t="s">
        <v>431</v>
      </c>
      <c r="L47" s="3" t="s">
        <v>189</v>
      </c>
      <c r="M47" s="3" t="s">
        <v>455</v>
      </c>
    </row>
    <row r="48" customFormat="false" ht="15" hidden="false" customHeight="false" outlineLevel="0" collapsed="false">
      <c r="A48" s="4" t="s">
        <v>379</v>
      </c>
      <c r="B48" s="4" t="s">
        <v>581</v>
      </c>
      <c r="C48" s="4" t="s">
        <v>457</v>
      </c>
      <c r="D48" s="4" t="s">
        <v>426</v>
      </c>
      <c r="E48" s="4" t="s">
        <v>435</v>
      </c>
      <c r="F48" s="4" t="s">
        <v>445</v>
      </c>
      <c r="G48" s="4" t="s">
        <v>437</v>
      </c>
      <c r="H48" s="4" t="s">
        <v>582</v>
      </c>
      <c r="I48" s="4" t="n">
        <v>76</v>
      </c>
      <c r="J48" s="4" t="n">
        <v>33.7</v>
      </c>
      <c r="K48" s="4" t="s">
        <v>439</v>
      </c>
      <c r="L48" s="4" t="s">
        <v>203</v>
      </c>
      <c r="M48" s="4" t="s">
        <v>486</v>
      </c>
    </row>
    <row r="49" customFormat="false" ht="15" hidden="false" customHeight="false" outlineLevel="0" collapsed="false">
      <c r="A49" s="3" t="s">
        <v>386</v>
      </c>
      <c r="B49" s="3" t="s">
        <v>583</v>
      </c>
      <c r="C49" s="3" t="s">
        <v>534</v>
      </c>
      <c r="D49" s="3" t="s">
        <v>426</v>
      </c>
      <c r="E49" s="3" t="s">
        <v>528</v>
      </c>
      <c r="F49" s="3" t="s">
        <v>428</v>
      </c>
      <c r="G49" s="3" t="s">
        <v>437</v>
      </c>
      <c r="H49" s="3" t="s">
        <v>550</v>
      </c>
      <c r="I49" s="3" t="n">
        <v>63</v>
      </c>
      <c r="J49" s="3" t="n">
        <v>33.4</v>
      </c>
      <c r="K49" s="3" t="s">
        <v>474</v>
      </c>
      <c r="L49" s="3" t="s">
        <v>485</v>
      </c>
      <c r="M49" s="3" t="s">
        <v>475</v>
      </c>
    </row>
    <row r="50" customFormat="false" ht="15" hidden="false" customHeight="false" outlineLevel="0" collapsed="false">
      <c r="A50" s="4" t="s">
        <v>392</v>
      </c>
      <c r="B50" s="4" t="s">
        <v>584</v>
      </c>
      <c r="C50" s="4" t="s">
        <v>434</v>
      </c>
      <c r="D50" s="4" t="s">
        <v>471</v>
      </c>
      <c r="E50" s="4" t="s">
        <v>444</v>
      </c>
      <c r="F50" s="4" t="s">
        <v>436</v>
      </c>
      <c r="G50" s="4" t="s">
        <v>437</v>
      </c>
      <c r="H50" s="4" t="s">
        <v>585</v>
      </c>
      <c r="I50" s="4" t="n">
        <v>81</v>
      </c>
      <c r="J50" s="4" t="n">
        <v>23.1</v>
      </c>
      <c r="K50" s="4" t="s">
        <v>460</v>
      </c>
      <c r="L50" s="4" t="s">
        <v>586</v>
      </c>
      <c r="M50" s="4" t="s">
        <v>539</v>
      </c>
    </row>
    <row r="51" customFormat="false" ht="15" hidden="false" customHeight="false" outlineLevel="0" collapsed="false">
      <c r="A51" s="3" t="s">
        <v>398</v>
      </c>
      <c r="B51" s="3" t="s">
        <v>587</v>
      </c>
      <c r="C51" s="3" t="s">
        <v>471</v>
      </c>
      <c r="D51" s="3" t="s">
        <v>534</v>
      </c>
      <c r="E51" s="3" t="s">
        <v>483</v>
      </c>
      <c r="F51" s="3" t="s">
        <v>466</v>
      </c>
      <c r="G51" s="3" t="s">
        <v>437</v>
      </c>
      <c r="H51" s="3" t="s">
        <v>588</v>
      </c>
      <c r="I51" s="3" t="n">
        <v>88</v>
      </c>
      <c r="J51" s="3" t="n">
        <v>32.1</v>
      </c>
      <c r="K51" s="3" t="s">
        <v>431</v>
      </c>
      <c r="L51" s="3" t="s">
        <v>320</v>
      </c>
      <c r="M51" s="3" t="s">
        <v>495</v>
      </c>
    </row>
    <row r="52" customFormat="false" ht="15" hidden="false" customHeight="false" outlineLevel="0" collapsed="false">
      <c r="A52" s="4" t="s">
        <v>405</v>
      </c>
      <c r="B52" s="4" t="s">
        <v>589</v>
      </c>
      <c r="C52" s="4" t="s">
        <v>457</v>
      </c>
      <c r="D52" s="4" t="s">
        <v>481</v>
      </c>
      <c r="E52" s="4" t="s">
        <v>483</v>
      </c>
      <c r="F52" s="4" t="s">
        <v>436</v>
      </c>
      <c r="G52" s="4" t="s">
        <v>467</v>
      </c>
      <c r="H52" s="4" t="s">
        <v>590</v>
      </c>
      <c r="I52" s="4" t="n">
        <v>73</v>
      </c>
      <c r="J52" s="4" t="n">
        <v>24.4</v>
      </c>
      <c r="K52" s="4" t="s">
        <v>460</v>
      </c>
      <c r="L52" s="4" t="s">
        <v>591</v>
      </c>
      <c r="M52" s="4" t="s">
        <v>495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7" min="6" style="0" width="8"/>
    <col collapsed="false" customWidth="true" hidden="false" outlineLevel="0" max="8" min="8" style="0" width="14"/>
    <col collapsed="false" customWidth="true" hidden="false" outlineLevel="0" max="10" min="9" style="0" width="12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8"/>
    <col collapsed="false" customWidth="true" hidden="false" outlineLevel="0" max="14" min="14" style="0" width="14"/>
  </cols>
  <sheetData>
    <row r="1" customFormat="false" ht="27.75" hidden="false" customHeight="true" outlineLevel="0" collapsed="false">
      <c r="A1" s="1" t="s">
        <v>592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 t="s">
        <v>593</v>
      </c>
      <c r="C2" s="2" t="s">
        <v>594</v>
      </c>
      <c r="D2" s="2" t="s">
        <v>595</v>
      </c>
      <c r="E2" s="2" t="s">
        <v>596</v>
      </c>
      <c r="F2" s="2" t="s">
        <v>597</v>
      </c>
      <c r="G2" s="2" t="s">
        <v>598</v>
      </c>
      <c r="H2" s="2" t="s">
        <v>599</v>
      </c>
      <c r="I2" s="2" t="s">
        <v>600</v>
      </c>
      <c r="J2" s="2" t="s">
        <v>601</v>
      </c>
      <c r="K2" s="2" t="s">
        <v>602</v>
      </c>
      <c r="L2" s="2" t="s">
        <v>603</v>
      </c>
      <c r="M2" s="2" t="s">
        <v>604</v>
      </c>
      <c r="N2" s="2" t="s">
        <v>605</v>
      </c>
    </row>
    <row r="3" customFormat="false" ht="15" hidden="false" customHeight="false" outlineLevel="0" collapsed="false">
      <c r="A3" s="3" t="s">
        <v>14</v>
      </c>
      <c r="B3" s="3" t="s">
        <v>606</v>
      </c>
      <c r="C3" s="3" t="n">
        <v>187.5</v>
      </c>
      <c r="D3" s="3" t="n">
        <v>7.2</v>
      </c>
      <c r="E3" s="3" t="n">
        <v>209.7</v>
      </c>
      <c r="F3" s="3" t="n">
        <v>135.8</v>
      </c>
      <c r="G3" s="3" t="n">
        <v>64.5</v>
      </c>
      <c r="H3" s="3" t="n">
        <v>229.6</v>
      </c>
      <c r="I3" s="3" t="n">
        <v>12.2</v>
      </c>
      <c r="J3" s="3" t="n">
        <v>3.5</v>
      </c>
      <c r="K3" s="3" t="n">
        <v>310</v>
      </c>
      <c r="L3" s="3" t="n">
        <v>0.84</v>
      </c>
      <c r="M3" s="3" t="n">
        <v>2.47</v>
      </c>
      <c r="N3" s="5" t="s">
        <v>607</v>
      </c>
    </row>
    <row r="4" customFormat="false" ht="15" hidden="false" customHeight="false" outlineLevel="0" collapsed="false">
      <c r="A4" s="4" t="s">
        <v>26</v>
      </c>
      <c r="B4" s="4" t="s">
        <v>608</v>
      </c>
      <c r="C4" s="4" t="n">
        <v>144.2</v>
      </c>
      <c r="D4" s="4" t="n">
        <v>6.5</v>
      </c>
      <c r="E4" s="4" t="n">
        <v>263.9</v>
      </c>
      <c r="F4" s="4" t="n">
        <v>125.3</v>
      </c>
      <c r="G4" s="4" t="n">
        <v>77.2</v>
      </c>
      <c r="H4" s="4" t="n">
        <v>176.9</v>
      </c>
      <c r="I4" s="4" t="n">
        <v>10.2</v>
      </c>
      <c r="J4" s="4" t="n">
        <v>10.5</v>
      </c>
      <c r="K4" s="4" t="n">
        <v>152</v>
      </c>
      <c r="L4" s="4" t="n">
        <v>1.39</v>
      </c>
      <c r="M4" s="4" t="n">
        <v>5.4</v>
      </c>
      <c r="N4" s="5" t="s">
        <v>607</v>
      </c>
    </row>
    <row r="5" customFormat="false" ht="15" hidden="false" customHeight="false" outlineLevel="0" collapsed="false">
      <c r="A5" s="3" t="s">
        <v>37</v>
      </c>
      <c r="B5" s="3" t="s">
        <v>609</v>
      </c>
      <c r="C5" s="3" t="n">
        <v>121.3</v>
      </c>
      <c r="D5" s="3" t="n">
        <v>4.9</v>
      </c>
      <c r="E5" s="3" t="n">
        <v>171.3</v>
      </c>
      <c r="F5" s="3" t="n">
        <v>138.9</v>
      </c>
      <c r="G5" s="3" t="n">
        <v>36.2</v>
      </c>
      <c r="H5" s="3" t="n">
        <v>195.5</v>
      </c>
      <c r="I5" s="3" t="n">
        <v>15.7</v>
      </c>
      <c r="J5" s="3" t="n">
        <v>4.6</v>
      </c>
      <c r="K5" s="3" t="n">
        <v>310</v>
      </c>
      <c r="L5" s="3" t="n">
        <v>1.26</v>
      </c>
      <c r="M5" s="3" t="n">
        <v>4.53</v>
      </c>
      <c r="N5" s="6" t="s">
        <v>610</v>
      </c>
    </row>
    <row r="6" customFormat="false" ht="15" hidden="false" customHeight="false" outlineLevel="0" collapsed="false">
      <c r="A6" s="4" t="s">
        <v>49</v>
      </c>
      <c r="B6" s="4" t="s">
        <v>611</v>
      </c>
      <c r="C6" s="4" t="n">
        <v>207.4</v>
      </c>
      <c r="D6" s="4" t="n">
        <v>7.1</v>
      </c>
      <c r="E6" s="4" t="n">
        <v>163.7</v>
      </c>
      <c r="F6" s="4" t="n">
        <v>76.2</v>
      </c>
      <c r="G6" s="4" t="n">
        <v>73</v>
      </c>
      <c r="H6" s="4" t="n">
        <v>285.9</v>
      </c>
      <c r="I6" s="4" t="n">
        <v>10.3</v>
      </c>
      <c r="J6" s="4" t="n">
        <v>5.1</v>
      </c>
      <c r="K6" s="4" t="n">
        <v>232</v>
      </c>
      <c r="L6" s="4" t="n">
        <v>1.74</v>
      </c>
      <c r="M6" s="4" t="n">
        <v>1.94</v>
      </c>
      <c r="N6" s="5" t="s">
        <v>607</v>
      </c>
    </row>
    <row r="7" customFormat="false" ht="15" hidden="false" customHeight="false" outlineLevel="0" collapsed="false">
      <c r="A7" s="3" t="s">
        <v>59</v>
      </c>
      <c r="B7" s="3" t="s">
        <v>612</v>
      </c>
      <c r="C7" s="3" t="n">
        <v>208.5</v>
      </c>
      <c r="D7" s="3" t="n">
        <v>7.5</v>
      </c>
      <c r="E7" s="3" t="n">
        <v>172.9</v>
      </c>
      <c r="F7" s="3" t="n">
        <v>150.4</v>
      </c>
      <c r="G7" s="3" t="n">
        <v>41.5</v>
      </c>
      <c r="H7" s="3" t="n">
        <v>139.2</v>
      </c>
      <c r="I7" s="3" t="n">
        <v>15.9</v>
      </c>
      <c r="J7" s="3" t="n">
        <v>10.4</v>
      </c>
      <c r="K7" s="3" t="n">
        <v>299</v>
      </c>
      <c r="L7" s="3" t="n">
        <v>0.88</v>
      </c>
      <c r="M7" s="3" t="n">
        <v>4.46</v>
      </c>
      <c r="N7" s="5" t="s">
        <v>607</v>
      </c>
    </row>
    <row r="8" customFormat="false" ht="15" hidden="false" customHeight="false" outlineLevel="0" collapsed="false">
      <c r="A8" s="4" t="s">
        <v>68</v>
      </c>
      <c r="B8" s="4" t="s">
        <v>613</v>
      </c>
      <c r="C8" s="4" t="n">
        <v>132.7</v>
      </c>
      <c r="D8" s="4" t="n">
        <v>9.8</v>
      </c>
      <c r="E8" s="4" t="n">
        <v>184.1</v>
      </c>
      <c r="F8" s="4" t="n">
        <v>82.4</v>
      </c>
      <c r="G8" s="4" t="n">
        <v>71.5</v>
      </c>
      <c r="H8" s="4" t="n">
        <v>141.8</v>
      </c>
      <c r="I8" s="4" t="n">
        <v>16</v>
      </c>
      <c r="J8" s="4" t="n">
        <v>5.6</v>
      </c>
      <c r="K8" s="4" t="n">
        <v>172</v>
      </c>
      <c r="L8" s="4" t="n">
        <v>1.52</v>
      </c>
      <c r="M8" s="4" t="n">
        <v>0.71</v>
      </c>
      <c r="N8" s="5" t="s">
        <v>607</v>
      </c>
    </row>
    <row r="9" customFormat="false" ht="15" hidden="false" customHeight="false" outlineLevel="0" collapsed="false">
      <c r="A9" s="3" t="s">
        <v>79</v>
      </c>
      <c r="B9" s="3" t="s">
        <v>614</v>
      </c>
      <c r="C9" s="3" t="n">
        <v>112.5</v>
      </c>
      <c r="D9" s="3" t="n">
        <v>5.1</v>
      </c>
      <c r="E9" s="3" t="n">
        <v>182.6</v>
      </c>
      <c r="F9" s="3" t="n">
        <v>95.5</v>
      </c>
      <c r="G9" s="3" t="n">
        <v>56.8</v>
      </c>
      <c r="H9" s="3" t="n">
        <v>229.4</v>
      </c>
      <c r="I9" s="3" t="n">
        <v>11.2</v>
      </c>
      <c r="J9" s="3" t="n">
        <v>7.1</v>
      </c>
      <c r="K9" s="3" t="n">
        <v>358</v>
      </c>
      <c r="L9" s="3" t="n">
        <v>0.56</v>
      </c>
      <c r="M9" s="3" t="n">
        <v>4.82</v>
      </c>
      <c r="N9" s="6" t="s">
        <v>610</v>
      </c>
    </row>
    <row r="10" customFormat="false" ht="15" hidden="false" customHeight="false" outlineLevel="0" collapsed="false">
      <c r="A10" s="4" t="s">
        <v>90</v>
      </c>
      <c r="B10" s="4" t="s">
        <v>615</v>
      </c>
      <c r="C10" s="4" t="n">
        <v>109.9</v>
      </c>
      <c r="D10" s="4" t="n">
        <v>9.9</v>
      </c>
      <c r="E10" s="4" t="n">
        <v>263.2</v>
      </c>
      <c r="F10" s="4" t="n">
        <v>69</v>
      </c>
      <c r="G10" s="4" t="n">
        <v>68.3</v>
      </c>
      <c r="H10" s="4" t="n">
        <v>140.8</v>
      </c>
      <c r="I10" s="4" t="n">
        <v>16</v>
      </c>
      <c r="J10" s="4" t="n">
        <v>8.9</v>
      </c>
      <c r="K10" s="4" t="n">
        <v>145</v>
      </c>
      <c r="L10" s="4" t="n">
        <v>0.7</v>
      </c>
      <c r="M10" s="4" t="n">
        <v>3.46</v>
      </c>
      <c r="N10" s="5" t="s">
        <v>607</v>
      </c>
    </row>
    <row r="11" customFormat="false" ht="15" hidden="false" customHeight="false" outlineLevel="0" collapsed="false">
      <c r="A11" s="3" t="s">
        <v>99</v>
      </c>
      <c r="B11" s="3" t="s">
        <v>616</v>
      </c>
      <c r="C11" s="3" t="n">
        <v>81.3</v>
      </c>
      <c r="D11" s="3" t="n">
        <v>8.8</v>
      </c>
      <c r="E11" s="3" t="n">
        <v>187.6</v>
      </c>
      <c r="F11" s="3" t="n">
        <v>105.9</v>
      </c>
      <c r="G11" s="3" t="n">
        <v>64</v>
      </c>
      <c r="H11" s="3" t="n">
        <v>201.3</v>
      </c>
      <c r="I11" s="3" t="n">
        <v>15.1</v>
      </c>
      <c r="J11" s="3" t="n">
        <v>11.1</v>
      </c>
      <c r="K11" s="3" t="n">
        <v>320</v>
      </c>
      <c r="L11" s="3" t="n">
        <v>1.12</v>
      </c>
      <c r="M11" s="3" t="n">
        <v>0.7</v>
      </c>
      <c r="N11" s="5" t="s">
        <v>607</v>
      </c>
    </row>
    <row r="12" customFormat="false" ht="15" hidden="false" customHeight="false" outlineLevel="0" collapsed="false">
      <c r="A12" s="4" t="s">
        <v>109</v>
      </c>
      <c r="B12" s="4" t="s">
        <v>617</v>
      </c>
      <c r="C12" s="4" t="n">
        <v>126.9</v>
      </c>
      <c r="D12" s="4" t="n">
        <v>8.1</v>
      </c>
      <c r="E12" s="4" t="n">
        <v>172.4</v>
      </c>
      <c r="F12" s="4" t="n">
        <v>73.6</v>
      </c>
      <c r="G12" s="4" t="n">
        <v>74.1</v>
      </c>
      <c r="H12" s="4" t="n">
        <v>174.8</v>
      </c>
      <c r="I12" s="4" t="n">
        <v>12.9</v>
      </c>
      <c r="J12" s="4" t="n">
        <v>8</v>
      </c>
      <c r="K12" s="4" t="n">
        <v>264</v>
      </c>
      <c r="L12" s="4" t="n">
        <v>1.58</v>
      </c>
      <c r="M12" s="4" t="n">
        <v>3.96</v>
      </c>
      <c r="N12" s="5" t="s">
        <v>607</v>
      </c>
    </row>
    <row r="13" customFormat="false" ht="15" hidden="false" customHeight="false" outlineLevel="0" collapsed="false">
      <c r="A13" s="3" t="s">
        <v>117</v>
      </c>
      <c r="B13" s="3" t="s">
        <v>618</v>
      </c>
      <c r="C13" s="3" t="n">
        <v>167.8</v>
      </c>
      <c r="D13" s="3" t="n">
        <v>10</v>
      </c>
      <c r="E13" s="3" t="n">
        <v>166</v>
      </c>
      <c r="F13" s="3" t="n">
        <v>76.3</v>
      </c>
      <c r="G13" s="3" t="n">
        <v>34.4</v>
      </c>
      <c r="H13" s="3" t="n">
        <v>93.2</v>
      </c>
      <c r="I13" s="3" t="n">
        <v>15.4</v>
      </c>
      <c r="J13" s="3" t="n">
        <v>11.5</v>
      </c>
      <c r="K13" s="3" t="n">
        <v>293</v>
      </c>
      <c r="L13" s="3" t="n">
        <v>1.43</v>
      </c>
      <c r="M13" s="3" t="n">
        <v>3.99</v>
      </c>
      <c r="N13" s="5" t="s">
        <v>607</v>
      </c>
    </row>
    <row r="14" customFormat="false" ht="15" hidden="false" customHeight="false" outlineLevel="0" collapsed="false">
      <c r="A14" s="4" t="s">
        <v>127</v>
      </c>
      <c r="B14" s="4" t="s">
        <v>619</v>
      </c>
      <c r="C14" s="4" t="n">
        <v>195</v>
      </c>
      <c r="D14" s="4" t="n">
        <v>9.2</v>
      </c>
      <c r="E14" s="4" t="n">
        <v>232.5</v>
      </c>
      <c r="F14" s="4" t="n">
        <v>171.3</v>
      </c>
      <c r="G14" s="4" t="n">
        <v>68.3</v>
      </c>
      <c r="H14" s="4" t="n">
        <v>248.4</v>
      </c>
      <c r="I14" s="4" t="n">
        <v>13.8</v>
      </c>
      <c r="J14" s="4" t="n">
        <v>4.5</v>
      </c>
      <c r="K14" s="4" t="n">
        <v>232</v>
      </c>
      <c r="L14" s="4" t="n">
        <v>1.61</v>
      </c>
      <c r="M14" s="4" t="n">
        <v>1.53</v>
      </c>
      <c r="N14" s="5" t="s">
        <v>607</v>
      </c>
    </row>
    <row r="15" customFormat="false" ht="15" hidden="false" customHeight="false" outlineLevel="0" collapsed="false">
      <c r="A15" s="3" t="s">
        <v>136</v>
      </c>
      <c r="B15" s="3" t="s">
        <v>577</v>
      </c>
      <c r="C15" s="3" t="n">
        <v>148.5</v>
      </c>
      <c r="D15" s="3" t="n">
        <v>6.5</v>
      </c>
      <c r="E15" s="3" t="n">
        <v>244.5</v>
      </c>
      <c r="F15" s="3" t="n">
        <v>126.2</v>
      </c>
      <c r="G15" s="3" t="n">
        <v>66.7</v>
      </c>
      <c r="H15" s="3" t="n">
        <v>71.6</v>
      </c>
      <c r="I15" s="3" t="n">
        <v>12.3</v>
      </c>
      <c r="J15" s="3" t="n">
        <v>11.5</v>
      </c>
      <c r="K15" s="3" t="n">
        <v>375</v>
      </c>
      <c r="L15" s="3" t="n">
        <v>1.24</v>
      </c>
      <c r="M15" s="3" t="n">
        <v>4.3</v>
      </c>
      <c r="N15" s="5" t="s">
        <v>607</v>
      </c>
    </row>
    <row r="16" customFormat="false" ht="15" hidden="false" customHeight="false" outlineLevel="0" collapsed="false">
      <c r="A16" s="4" t="s">
        <v>145</v>
      </c>
      <c r="B16" s="4" t="s">
        <v>620</v>
      </c>
      <c r="C16" s="4" t="n">
        <v>206.2</v>
      </c>
      <c r="D16" s="4" t="n">
        <v>8</v>
      </c>
      <c r="E16" s="4" t="n">
        <v>198.5</v>
      </c>
      <c r="F16" s="4" t="n">
        <v>141.6</v>
      </c>
      <c r="G16" s="4" t="n">
        <v>50.7</v>
      </c>
      <c r="H16" s="4" t="n">
        <v>269.5</v>
      </c>
      <c r="I16" s="4" t="n">
        <v>15.9</v>
      </c>
      <c r="J16" s="4" t="n">
        <v>8.6</v>
      </c>
      <c r="K16" s="4" t="n">
        <v>223</v>
      </c>
      <c r="L16" s="4" t="n">
        <v>1.57</v>
      </c>
      <c r="M16" s="4" t="n">
        <v>0.97</v>
      </c>
      <c r="N16" s="5" t="s">
        <v>607</v>
      </c>
    </row>
    <row r="17" customFormat="false" ht="15" hidden="false" customHeight="false" outlineLevel="0" collapsed="false">
      <c r="A17" s="3" t="s">
        <v>153</v>
      </c>
      <c r="B17" s="3" t="s">
        <v>621</v>
      </c>
      <c r="C17" s="3" t="n">
        <v>89.1</v>
      </c>
      <c r="D17" s="3" t="n">
        <v>5.3</v>
      </c>
      <c r="E17" s="3" t="n">
        <v>161.4</v>
      </c>
      <c r="F17" s="3" t="n">
        <v>98.7</v>
      </c>
      <c r="G17" s="3" t="n">
        <v>72.6</v>
      </c>
      <c r="H17" s="3" t="n">
        <v>136.5</v>
      </c>
      <c r="I17" s="3" t="n">
        <v>17.1</v>
      </c>
      <c r="J17" s="3" t="n">
        <v>10.7</v>
      </c>
      <c r="K17" s="3" t="n">
        <v>170</v>
      </c>
      <c r="L17" s="3" t="n">
        <v>0.85</v>
      </c>
      <c r="M17" s="3" t="n">
        <v>3.6</v>
      </c>
      <c r="N17" s="7" t="s">
        <v>622</v>
      </c>
    </row>
    <row r="18" customFormat="false" ht="15" hidden="false" customHeight="false" outlineLevel="0" collapsed="false">
      <c r="A18" s="4" t="s">
        <v>161</v>
      </c>
      <c r="B18" s="4" t="s">
        <v>623</v>
      </c>
      <c r="C18" s="4" t="n">
        <v>158.3</v>
      </c>
      <c r="D18" s="4" t="n">
        <v>7.9</v>
      </c>
      <c r="E18" s="4" t="n">
        <v>152.1</v>
      </c>
      <c r="F18" s="4" t="n">
        <v>136.9</v>
      </c>
      <c r="G18" s="4" t="n">
        <v>65.5</v>
      </c>
      <c r="H18" s="4" t="n">
        <v>195.2</v>
      </c>
      <c r="I18" s="4" t="n">
        <v>11.3</v>
      </c>
      <c r="J18" s="4" t="n">
        <v>8.5</v>
      </c>
      <c r="K18" s="4" t="n">
        <v>302</v>
      </c>
      <c r="L18" s="4" t="n">
        <v>1.68</v>
      </c>
      <c r="M18" s="4" t="n">
        <v>3.23</v>
      </c>
      <c r="N18" s="5" t="s">
        <v>607</v>
      </c>
    </row>
    <row r="19" customFormat="false" ht="15" hidden="false" customHeight="false" outlineLevel="0" collapsed="false">
      <c r="A19" s="3" t="s">
        <v>168</v>
      </c>
      <c r="B19" s="3" t="s">
        <v>624</v>
      </c>
      <c r="C19" s="3" t="n">
        <v>202.9</v>
      </c>
      <c r="D19" s="3" t="n">
        <v>8.7</v>
      </c>
      <c r="E19" s="3" t="n">
        <v>174.4</v>
      </c>
      <c r="F19" s="3" t="n">
        <v>85.3</v>
      </c>
      <c r="G19" s="3" t="n">
        <v>64.3</v>
      </c>
      <c r="H19" s="3" t="n">
        <v>204.5</v>
      </c>
      <c r="I19" s="3" t="n">
        <v>10.2</v>
      </c>
      <c r="J19" s="3" t="n">
        <v>10.6</v>
      </c>
      <c r="K19" s="3" t="n">
        <v>409</v>
      </c>
      <c r="L19" s="3" t="n">
        <v>0.91</v>
      </c>
      <c r="M19" s="3" t="n">
        <v>5.27</v>
      </c>
      <c r="N19" s="5" t="s">
        <v>607</v>
      </c>
    </row>
    <row r="20" customFormat="false" ht="15" hidden="false" customHeight="false" outlineLevel="0" collapsed="false">
      <c r="A20" s="4" t="s">
        <v>174</v>
      </c>
      <c r="B20" s="4" t="s">
        <v>625</v>
      </c>
      <c r="C20" s="4" t="n">
        <v>183.4</v>
      </c>
      <c r="D20" s="4" t="n">
        <v>6.7</v>
      </c>
      <c r="E20" s="4" t="n">
        <v>199</v>
      </c>
      <c r="F20" s="4" t="n">
        <v>142.6</v>
      </c>
      <c r="G20" s="4" t="n">
        <v>39.5</v>
      </c>
      <c r="H20" s="4" t="n">
        <v>153.9</v>
      </c>
      <c r="I20" s="4" t="n">
        <v>13.5</v>
      </c>
      <c r="J20" s="4" t="n">
        <v>6.2</v>
      </c>
      <c r="K20" s="4" t="n">
        <v>203</v>
      </c>
      <c r="L20" s="4" t="n">
        <v>0.94</v>
      </c>
      <c r="M20" s="4" t="n">
        <v>4.04</v>
      </c>
      <c r="N20" s="5" t="s">
        <v>607</v>
      </c>
    </row>
    <row r="21" customFormat="false" ht="15" hidden="false" customHeight="false" outlineLevel="0" collapsed="false">
      <c r="A21" s="3" t="s">
        <v>182</v>
      </c>
      <c r="B21" s="3" t="s">
        <v>626</v>
      </c>
      <c r="C21" s="3" t="n">
        <v>90</v>
      </c>
      <c r="D21" s="3" t="n">
        <v>6.5</v>
      </c>
      <c r="E21" s="3" t="n">
        <v>213</v>
      </c>
      <c r="F21" s="3" t="n">
        <v>98.3</v>
      </c>
      <c r="G21" s="3" t="n">
        <v>58</v>
      </c>
      <c r="H21" s="3" t="n">
        <v>116.9</v>
      </c>
      <c r="I21" s="3" t="n">
        <v>11.9</v>
      </c>
      <c r="J21" s="3" t="n">
        <v>4.3</v>
      </c>
      <c r="K21" s="3" t="n">
        <v>278</v>
      </c>
      <c r="L21" s="3" t="n">
        <v>1.82</v>
      </c>
      <c r="M21" s="3" t="n">
        <v>4.79</v>
      </c>
      <c r="N21" s="6" t="s">
        <v>610</v>
      </c>
    </row>
    <row r="22" customFormat="false" ht="15" hidden="false" customHeight="false" outlineLevel="0" collapsed="false">
      <c r="A22" s="4" t="s">
        <v>190</v>
      </c>
      <c r="B22" s="4" t="s">
        <v>627</v>
      </c>
      <c r="C22" s="4" t="n">
        <v>196.5</v>
      </c>
      <c r="D22" s="4" t="n">
        <v>9</v>
      </c>
      <c r="E22" s="4" t="n">
        <v>261.4</v>
      </c>
      <c r="F22" s="4" t="n">
        <v>146.5</v>
      </c>
      <c r="G22" s="4" t="n">
        <v>41.4</v>
      </c>
      <c r="H22" s="4" t="n">
        <v>89.8</v>
      </c>
      <c r="I22" s="4" t="n">
        <v>17.5</v>
      </c>
      <c r="J22" s="4" t="n">
        <v>7.2</v>
      </c>
      <c r="K22" s="4" t="n">
        <v>287</v>
      </c>
      <c r="L22" s="4" t="n">
        <v>1.2</v>
      </c>
      <c r="M22" s="4" t="n">
        <v>0.77</v>
      </c>
      <c r="N22" s="5" t="s">
        <v>607</v>
      </c>
    </row>
    <row r="23" customFormat="false" ht="15" hidden="false" customHeight="false" outlineLevel="0" collapsed="false">
      <c r="A23" s="3" t="s">
        <v>197</v>
      </c>
      <c r="B23" s="3" t="s">
        <v>628</v>
      </c>
      <c r="C23" s="3" t="n">
        <v>205.4</v>
      </c>
      <c r="D23" s="3" t="n">
        <v>5.7</v>
      </c>
      <c r="E23" s="3" t="n">
        <v>185.9</v>
      </c>
      <c r="F23" s="3" t="n">
        <v>66.1</v>
      </c>
      <c r="G23" s="3" t="n">
        <v>59.7</v>
      </c>
      <c r="H23" s="3" t="n">
        <v>270.6</v>
      </c>
      <c r="I23" s="3" t="n">
        <v>14.9</v>
      </c>
      <c r="J23" s="3" t="n">
        <v>7.3</v>
      </c>
      <c r="K23" s="3" t="n">
        <v>404</v>
      </c>
      <c r="L23" s="3" t="n">
        <v>0.51</v>
      </c>
      <c r="M23" s="3" t="n">
        <v>0.86</v>
      </c>
      <c r="N23" s="5" t="s">
        <v>607</v>
      </c>
    </row>
    <row r="24" customFormat="false" ht="15" hidden="false" customHeight="false" outlineLevel="0" collapsed="false">
      <c r="A24" s="4" t="s">
        <v>204</v>
      </c>
      <c r="B24" s="4" t="s">
        <v>629</v>
      </c>
      <c r="C24" s="4" t="n">
        <v>122.5</v>
      </c>
      <c r="D24" s="4" t="n">
        <v>6.7</v>
      </c>
      <c r="E24" s="4" t="n">
        <v>145.9</v>
      </c>
      <c r="F24" s="4" t="n">
        <v>66.1</v>
      </c>
      <c r="G24" s="4" t="n">
        <v>63.7</v>
      </c>
      <c r="H24" s="4" t="n">
        <v>140.6</v>
      </c>
      <c r="I24" s="4" t="n">
        <v>12.2</v>
      </c>
      <c r="J24" s="4" t="n">
        <v>6.6</v>
      </c>
      <c r="K24" s="4" t="n">
        <v>360</v>
      </c>
      <c r="L24" s="4" t="n">
        <v>1.57</v>
      </c>
      <c r="M24" s="4" t="n">
        <v>1.75</v>
      </c>
      <c r="N24" s="5" t="s">
        <v>607</v>
      </c>
    </row>
    <row r="25" customFormat="false" ht="15" hidden="false" customHeight="false" outlineLevel="0" collapsed="false">
      <c r="A25" s="3" t="s">
        <v>211</v>
      </c>
      <c r="B25" s="3" t="s">
        <v>630</v>
      </c>
      <c r="C25" s="3" t="n">
        <v>88.4</v>
      </c>
      <c r="D25" s="3" t="n">
        <v>9.9</v>
      </c>
      <c r="E25" s="3" t="n">
        <v>191.2</v>
      </c>
      <c r="F25" s="3" t="n">
        <v>155.4</v>
      </c>
      <c r="G25" s="3" t="n">
        <v>50.3</v>
      </c>
      <c r="H25" s="3" t="n">
        <v>284.7</v>
      </c>
      <c r="I25" s="3" t="n">
        <v>15.7</v>
      </c>
      <c r="J25" s="3" t="n">
        <v>5.1</v>
      </c>
      <c r="K25" s="3" t="n">
        <v>390</v>
      </c>
      <c r="L25" s="3" t="n">
        <v>1.06</v>
      </c>
      <c r="M25" s="3" t="n">
        <v>0.51</v>
      </c>
      <c r="N25" s="5" t="s">
        <v>607</v>
      </c>
    </row>
    <row r="26" customFormat="false" ht="15" hidden="false" customHeight="false" outlineLevel="0" collapsed="false">
      <c r="A26" s="4" t="s">
        <v>218</v>
      </c>
      <c r="B26" s="4" t="s">
        <v>631</v>
      </c>
      <c r="C26" s="4" t="n">
        <v>118</v>
      </c>
      <c r="D26" s="4" t="n">
        <v>7.1</v>
      </c>
      <c r="E26" s="4" t="n">
        <v>199.4</v>
      </c>
      <c r="F26" s="4" t="n">
        <v>132.8</v>
      </c>
      <c r="G26" s="4" t="n">
        <v>60.9</v>
      </c>
      <c r="H26" s="4" t="n">
        <v>132</v>
      </c>
      <c r="I26" s="4" t="n">
        <v>14.6</v>
      </c>
      <c r="J26" s="4" t="n">
        <v>4.8</v>
      </c>
      <c r="K26" s="4" t="n">
        <v>283</v>
      </c>
      <c r="L26" s="4" t="n">
        <v>1.33</v>
      </c>
      <c r="M26" s="4" t="n">
        <v>2.94</v>
      </c>
      <c r="N26" s="5" t="s">
        <v>607</v>
      </c>
    </row>
    <row r="27" customFormat="false" ht="15" hidden="false" customHeight="false" outlineLevel="0" collapsed="false">
      <c r="A27" s="3" t="s">
        <v>225</v>
      </c>
      <c r="B27" s="3" t="s">
        <v>632</v>
      </c>
      <c r="C27" s="3" t="n">
        <v>169.8</v>
      </c>
      <c r="D27" s="3" t="n">
        <v>6.1</v>
      </c>
      <c r="E27" s="3" t="n">
        <v>246</v>
      </c>
      <c r="F27" s="3" t="n">
        <v>104.2</v>
      </c>
      <c r="G27" s="3" t="n">
        <v>70.4</v>
      </c>
      <c r="H27" s="3" t="n">
        <v>295</v>
      </c>
      <c r="I27" s="3" t="n">
        <v>14.4</v>
      </c>
      <c r="J27" s="3" t="n">
        <v>9.9</v>
      </c>
      <c r="K27" s="3" t="n">
        <v>143</v>
      </c>
      <c r="L27" s="3" t="n">
        <v>1.34</v>
      </c>
      <c r="M27" s="3" t="n">
        <v>1.68</v>
      </c>
      <c r="N27" s="5" t="s">
        <v>607</v>
      </c>
    </row>
    <row r="28" customFormat="false" ht="15" hidden="false" customHeight="false" outlineLevel="0" collapsed="false">
      <c r="A28" s="4" t="s">
        <v>232</v>
      </c>
      <c r="B28" s="4" t="s">
        <v>633</v>
      </c>
      <c r="C28" s="4" t="n">
        <v>103.4</v>
      </c>
      <c r="D28" s="4" t="n">
        <v>4.8</v>
      </c>
      <c r="E28" s="4" t="n">
        <v>202.5</v>
      </c>
      <c r="F28" s="4" t="n">
        <v>122.9</v>
      </c>
      <c r="G28" s="4" t="n">
        <v>73.3</v>
      </c>
      <c r="H28" s="4" t="n">
        <v>243.7</v>
      </c>
      <c r="I28" s="4" t="n">
        <v>12.9</v>
      </c>
      <c r="J28" s="4" t="n">
        <v>10.1</v>
      </c>
      <c r="K28" s="4" t="n">
        <v>254</v>
      </c>
      <c r="L28" s="4" t="n">
        <v>0.54</v>
      </c>
      <c r="M28" s="4" t="n">
        <v>5.23</v>
      </c>
      <c r="N28" s="6" t="s">
        <v>610</v>
      </c>
    </row>
    <row r="29" customFormat="false" ht="15" hidden="false" customHeight="false" outlineLevel="0" collapsed="false">
      <c r="A29" s="3" t="s">
        <v>240</v>
      </c>
      <c r="B29" s="3" t="s">
        <v>634</v>
      </c>
      <c r="C29" s="3" t="n">
        <v>132.9</v>
      </c>
      <c r="D29" s="3" t="n">
        <v>6.8</v>
      </c>
      <c r="E29" s="3" t="n">
        <v>193.7</v>
      </c>
      <c r="F29" s="3" t="n">
        <v>84.5</v>
      </c>
      <c r="G29" s="3" t="n">
        <v>60.1</v>
      </c>
      <c r="H29" s="3" t="n">
        <v>202.9</v>
      </c>
      <c r="I29" s="3" t="n">
        <v>13.5</v>
      </c>
      <c r="J29" s="3" t="n">
        <v>10.3</v>
      </c>
      <c r="K29" s="3" t="n">
        <v>161</v>
      </c>
      <c r="L29" s="3" t="n">
        <v>1.49</v>
      </c>
      <c r="M29" s="3" t="n">
        <v>3</v>
      </c>
      <c r="N29" s="5" t="s">
        <v>607</v>
      </c>
    </row>
    <row r="30" customFormat="false" ht="15" hidden="false" customHeight="false" outlineLevel="0" collapsed="false">
      <c r="A30" s="4" t="s">
        <v>248</v>
      </c>
      <c r="B30" s="4" t="s">
        <v>635</v>
      </c>
      <c r="C30" s="4" t="n">
        <v>138</v>
      </c>
      <c r="D30" s="4" t="n">
        <v>6.6</v>
      </c>
      <c r="E30" s="4" t="n">
        <v>264.4</v>
      </c>
      <c r="F30" s="4" t="n">
        <v>115.2</v>
      </c>
      <c r="G30" s="4" t="n">
        <v>62</v>
      </c>
      <c r="H30" s="4" t="n">
        <v>186.6</v>
      </c>
      <c r="I30" s="4" t="n">
        <v>15.1</v>
      </c>
      <c r="J30" s="4" t="n">
        <v>10.4</v>
      </c>
      <c r="K30" s="4" t="n">
        <v>265</v>
      </c>
      <c r="L30" s="4" t="n">
        <v>1.35</v>
      </c>
      <c r="M30" s="4" t="n">
        <v>1.3</v>
      </c>
      <c r="N30" s="5" t="s">
        <v>607</v>
      </c>
    </row>
    <row r="31" customFormat="false" ht="15" hidden="false" customHeight="false" outlineLevel="0" collapsed="false">
      <c r="A31" s="3" t="s">
        <v>255</v>
      </c>
      <c r="B31" s="3" t="s">
        <v>424</v>
      </c>
      <c r="C31" s="3" t="n">
        <v>113.2</v>
      </c>
      <c r="D31" s="3" t="n">
        <v>9.7</v>
      </c>
      <c r="E31" s="3" t="n">
        <v>267.7</v>
      </c>
      <c r="F31" s="3" t="n">
        <v>152.5</v>
      </c>
      <c r="G31" s="3" t="n">
        <v>72.3</v>
      </c>
      <c r="H31" s="3" t="n">
        <v>222.6</v>
      </c>
      <c r="I31" s="3" t="n">
        <v>13.7</v>
      </c>
      <c r="J31" s="3" t="n">
        <v>7.3</v>
      </c>
      <c r="K31" s="3" t="n">
        <v>416</v>
      </c>
      <c r="L31" s="3" t="n">
        <v>1.81</v>
      </c>
      <c r="M31" s="3" t="n">
        <v>4.44</v>
      </c>
      <c r="N31" s="5" t="s">
        <v>607</v>
      </c>
    </row>
    <row r="32" customFormat="false" ht="15" hidden="false" customHeight="false" outlineLevel="0" collapsed="false">
      <c r="A32" s="4" t="s">
        <v>262</v>
      </c>
      <c r="B32" s="4" t="s">
        <v>636</v>
      </c>
      <c r="C32" s="4" t="n">
        <v>151.1</v>
      </c>
      <c r="D32" s="4" t="n">
        <v>7.5</v>
      </c>
      <c r="E32" s="4" t="n">
        <v>256.4</v>
      </c>
      <c r="F32" s="4" t="n">
        <v>107.3</v>
      </c>
      <c r="G32" s="4" t="n">
        <v>50.7</v>
      </c>
      <c r="H32" s="4" t="n">
        <v>243.3</v>
      </c>
      <c r="I32" s="4" t="n">
        <v>11.1</v>
      </c>
      <c r="J32" s="4" t="n">
        <v>3.8</v>
      </c>
      <c r="K32" s="4" t="n">
        <v>170</v>
      </c>
      <c r="L32" s="4" t="n">
        <v>0.98</v>
      </c>
      <c r="M32" s="4" t="n">
        <v>2.6</v>
      </c>
      <c r="N32" s="5" t="s">
        <v>607</v>
      </c>
    </row>
    <row r="33" customFormat="false" ht="15" hidden="false" customHeight="false" outlineLevel="0" collapsed="false">
      <c r="A33" s="3" t="s">
        <v>270</v>
      </c>
      <c r="B33" s="3" t="s">
        <v>637</v>
      </c>
      <c r="C33" s="3" t="n">
        <v>101.5</v>
      </c>
      <c r="D33" s="3" t="n">
        <v>9.1</v>
      </c>
      <c r="E33" s="3" t="n">
        <v>175.2</v>
      </c>
      <c r="F33" s="3" t="n">
        <v>127.4</v>
      </c>
      <c r="G33" s="3" t="n">
        <v>46.3</v>
      </c>
      <c r="H33" s="3" t="n">
        <v>77.3</v>
      </c>
      <c r="I33" s="3" t="n">
        <v>15.6</v>
      </c>
      <c r="J33" s="3" t="n">
        <v>5.4</v>
      </c>
      <c r="K33" s="3" t="n">
        <v>155</v>
      </c>
      <c r="L33" s="3" t="n">
        <v>1.44</v>
      </c>
      <c r="M33" s="3" t="n">
        <v>3.06</v>
      </c>
      <c r="N33" s="5" t="s">
        <v>607</v>
      </c>
    </row>
    <row r="34" customFormat="false" ht="15" hidden="false" customHeight="false" outlineLevel="0" collapsed="false">
      <c r="A34" s="4" t="s">
        <v>277</v>
      </c>
      <c r="B34" s="4" t="s">
        <v>638</v>
      </c>
      <c r="C34" s="4" t="n">
        <v>85.8</v>
      </c>
      <c r="D34" s="4" t="n">
        <v>6.3</v>
      </c>
      <c r="E34" s="4" t="n">
        <v>201.4</v>
      </c>
      <c r="F34" s="4" t="n">
        <v>141.7</v>
      </c>
      <c r="G34" s="4" t="n">
        <v>38.2</v>
      </c>
      <c r="H34" s="4" t="n">
        <v>291.1</v>
      </c>
      <c r="I34" s="4" t="n">
        <v>17.3</v>
      </c>
      <c r="J34" s="4" t="n">
        <v>4.8</v>
      </c>
      <c r="K34" s="4" t="n">
        <v>373</v>
      </c>
      <c r="L34" s="4" t="n">
        <v>1.17</v>
      </c>
      <c r="M34" s="4" t="n">
        <v>1.34</v>
      </c>
      <c r="N34" s="6" t="s">
        <v>610</v>
      </c>
    </row>
    <row r="35" customFormat="false" ht="15" hidden="false" customHeight="false" outlineLevel="0" collapsed="false">
      <c r="A35" s="3" t="s">
        <v>284</v>
      </c>
      <c r="B35" s="3" t="s">
        <v>639</v>
      </c>
      <c r="C35" s="3" t="n">
        <v>161.1</v>
      </c>
      <c r="D35" s="3" t="n">
        <v>9.5</v>
      </c>
      <c r="E35" s="3" t="n">
        <v>151.6</v>
      </c>
      <c r="F35" s="3" t="n">
        <v>128.9</v>
      </c>
      <c r="G35" s="3" t="n">
        <v>62.1</v>
      </c>
      <c r="H35" s="3" t="n">
        <v>230.8</v>
      </c>
      <c r="I35" s="3" t="n">
        <v>17</v>
      </c>
      <c r="J35" s="3" t="n">
        <v>10.8</v>
      </c>
      <c r="K35" s="3" t="n">
        <v>219</v>
      </c>
      <c r="L35" s="3" t="n">
        <v>1.09</v>
      </c>
      <c r="M35" s="3" t="n">
        <v>4.66</v>
      </c>
      <c r="N35" s="5" t="s">
        <v>607</v>
      </c>
    </row>
    <row r="36" customFormat="false" ht="15" hidden="false" customHeight="false" outlineLevel="0" collapsed="false">
      <c r="A36" s="4" t="s">
        <v>292</v>
      </c>
      <c r="B36" s="4" t="s">
        <v>640</v>
      </c>
      <c r="C36" s="4" t="n">
        <v>140.4</v>
      </c>
      <c r="D36" s="4" t="n">
        <v>9.7</v>
      </c>
      <c r="E36" s="4" t="n">
        <v>265.1</v>
      </c>
      <c r="F36" s="4" t="n">
        <v>171.1</v>
      </c>
      <c r="G36" s="4" t="n">
        <v>82.6</v>
      </c>
      <c r="H36" s="4" t="n">
        <v>52.3</v>
      </c>
      <c r="I36" s="4" t="n">
        <v>14.3</v>
      </c>
      <c r="J36" s="4" t="n">
        <v>4.4</v>
      </c>
      <c r="K36" s="4" t="n">
        <v>301</v>
      </c>
      <c r="L36" s="4" t="n">
        <v>0.9</v>
      </c>
      <c r="M36" s="4" t="n">
        <v>5.44</v>
      </c>
      <c r="N36" s="5" t="s">
        <v>607</v>
      </c>
    </row>
    <row r="37" customFormat="false" ht="15" hidden="false" customHeight="false" outlineLevel="0" collapsed="false">
      <c r="A37" s="3" t="s">
        <v>299</v>
      </c>
      <c r="B37" s="3" t="s">
        <v>632</v>
      </c>
      <c r="C37" s="3" t="n">
        <v>194.7</v>
      </c>
      <c r="D37" s="3" t="n">
        <v>5.2</v>
      </c>
      <c r="E37" s="3" t="n">
        <v>205.5</v>
      </c>
      <c r="F37" s="3" t="n">
        <v>92.7</v>
      </c>
      <c r="G37" s="3" t="n">
        <v>78.5</v>
      </c>
      <c r="H37" s="3" t="n">
        <v>132.7</v>
      </c>
      <c r="I37" s="3" t="n">
        <v>15.5</v>
      </c>
      <c r="J37" s="3" t="n">
        <v>8.7</v>
      </c>
      <c r="K37" s="3" t="n">
        <v>225</v>
      </c>
      <c r="L37" s="3" t="n">
        <v>0.52</v>
      </c>
      <c r="M37" s="3" t="n">
        <v>2.05</v>
      </c>
      <c r="N37" s="5" t="s">
        <v>607</v>
      </c>
    </row>
    <row r="38" customFormat="false" ht="15" hidden="false" customHeight="false" outlineLevel="0" collapsed="false">
      <c r="A38" s="4" t="s">
        <v>306</v>
      </c>
      <c r="B38" s="4" t="s">
        <v>641</v>
      </c>
      <c r="C38" s="4" t="n">
        <v>176.5</v>
      </c>
      <c r="D38" s="4" t="n">
        <v>5.5</v>
      </c>
      <c r="E38" s="4" t="n">
        <v>251.3</v>
      </c>
      <c r="F38" s="4" t="n">
        <v>167.6</v>
      </c>
      <c r="G38" s="4" t="n">
        <v>79.6</v>
      </c>
      <c r="H38" s="4" t="n">
        <v>178.8</v>
      </c>
      <c r="I38" s="4" t="n">
        <v>10.7</v>
      </c>
      <c r="J38" s="4" t="n">
        <v>8.9</v>
      </c>
      <c r="K38" s="4" t="n">
        <v>224</v>
      </c>
      <c r="L38" s="4" t="n">
        <v>1.87</v>
      </c>
      <c r="M38" s="4" t="n">
        <v>2.78</v>
      </c>
      <c r="N38" s="5" t="s">
        <v>607</v>
      </c>
    </row>
    <row r="39" customFormat="false" ht="15" hidden="false" customHeight="false" outlineLevel="0" collapsed="false">
      <c r="A39" s="3" t="s">
        <v>312</v>
      </c>
      <c r="B39" s="3" t="s">
        <v>642</v>
      </c>
      <c r="C39" s="3" t="n">
        <v>124.9</v>
      </c>
      <c r="D39" s="3" t="n">
        <v>7</v>
      </c>
      <c r="E39" s="3" t="n">
        <v>174.7</v>
      </c>
      <c r="F39" s="3" t="n">
        <v>99.6</v>
      </c>
      <c r="G39" s="3" t="n">
        <v>64.9</v>
      </c>
      <c r="H39" s="3" t="n">
        <v>193.2</v>
      </c>
      <c r="I39" s="3" t="n">
        <v>12</v>
      </c>
      <c r="J39" s="3" t="n">
        <v>6.4</v>
      </c>
      <c r="K39" s="3" t="n">
        <v>250</v>
      </c>
      <c r="L39" s="3" t="n">
        <v>0.59</v>
      </c>
      <c r="M39" s="3" t="n">
        <v>0.91</v>
      </c>
      <c r="N39" s="5" t="s">
        <v>607</v>
      </c>
    </row>
    <row r="40" customFormat="false" ht="15" hidden="false" customHeight="false" outlineLevel="0" collapsed="false">
      <c r="A40" s="4" t="s">
        <v>321</v>
      </c>
      <c r="B40" s="4" t="s">
        <v>643</v>
      </c>
      <c r="C40" s="4" t="n">
        <v>166.7</v>
      </c>
      <c r="D40" s="4" t="n">
        <v>9.6</v>
      </c>
      <c r="E40" s="4" t="n">
        <v>255.4</v>
      </c>
      <c r="F40" s="4" t="n">
        <v>152.4</v>
      </c>
      <c r="G40" s="4" t="n">
        <v>71.4</v>
      </c>
      <c r="H40" s="4" t="n">
        <v>209.7</v>
      </c>
      <c r="I40" s="4" t="n">
        <v>17.1</v>
      </c>
      <c r="J40" s="4" t="n">
        <v>6.4</v>
      </c>
      <c r="K40" s="4" t="n">
        <v>243</v>
      </c>
      <c r="L40" s="4" t="n">
        <v>0.81</v>
      </c>
      <c r="M40" s="4" t="n">
        <v>0.99</v>
      </c>
      <c r="N40" s="5" t="s">
        <v>607</v>
      </c>
    </row>
    <row r="41" customFormat="false" ht="15" hidden="false" customHeight="false" outlineLevel="0" collapsed="false">
      <c r="A41" s="3" t="s">
        <v>328</v>
      </c>
      <c r="B41" s="3" t="s">
        <v>644</v>
      </c>
      <c r="C41" s="3" t="n">
        <v>208.5</v>
      </c>
      <c r="D41" s="3" t="n">
        <v>6.6</v>
      </c>
      <c r="E41" s="3" t="n">
        <v>231.3</v>
      </c>
      <c r="F41" s="3" t="n">
        <v>169.5</v>
      </c>
      <c r="G41" s="3" t="n">
        <v>75.4</v>
      </c>
      <c r="H41" s="3" t="n">
        <v>250.5</v>
      </c>
      <c r="I41" s="3" t="n">
        <v>16.2</v>
      </c>
      <c r="J41" s="3" t="n">
        <v>9.6</v>
      </c>
      <c r="K41" s="3" t="n">
        <v>171</v>
      </c>
      <c r="L41" s="3" t="n">
        <v>1.24</v>
      </c>
      <c r="M41" s="3" t="n">
        <v>3.05</v>
      </c>
      <c r="N41" s="5" t="s">
        <v>607</v>
      </c>
    </row>
    <row r="42" customFormat="false" ht="15" hidden="false" customHeight="false" outlineLevel="0" collapsed="false">
      <c r="A42" s="4" t="s">
        <v>335</v>
      </c>
      <c r="B42" s="4" t="s">
        <v>645</v>
      </c>
      <c r="C42" s="4" t="n">
        <v>87.5</v>
      </c>
      <c r="D42" s="4" t="n">
        <v>9.1</v>
      </c>
      <c r="E42" s="4" t="n">
        <v>257.4</v>
      </c>
      <c r="F42" s="4" t="n">
        <v>84.3</v>
      </c>
      <c r="G42" s="4" t="n">
        <v>62.2</v>
      </c>
      <c r="H42" s="4" t="n">
        <v>91.1</v>
      </c>
      <c r="I42" s="4" t="n">
        <v>16.4</v>
      </c>
      <c r="J42" s="4" t="n">
        <v>7</v>
      </c>
      <c r="K42" s="4" t="n">
        <v>235</v>
      </c>
      <c r="L42" s="4" t="n">
        <v>1.5</v>
      </c>
      <c r="M42" s="4" t="n">
        <v>2.84</v>
      </c>
      <c r="N42" s="5" t="s">
        <v>607</v>
      </c>
    </row>
    <row r="43" customFormat="false" ht="15" hidden="false" customHeight="false" outlineLevel="0" collapsed="false">
      <c r="A43" s="3" t="s">
        <v>341</v>
      </c>
      <c r="B43" s="3" t="s">
        <v>646</v>
      </c>
      <c r="C43" s="3" t="n">
        <v>79.7</v>
      </c>
      <c r="D43" s="3" t="n">
        <v>5.2</v>
      </c>
      <c r="E43" s="3" t="n">
        <v>194</v>
      </c>
      <c r="F43" s="3" t="n">
        <v>127.7</v>
      </c>
      <c r="G43" s="3" t="n">
        <v>63.5</v>
      </c>
      <c r="H43" s="3" t="n">
        <v>218.2</v>
      </c>
      <c r="I43" s="3" t="n">
        <v>12.3</v>
      </c>
      <c r="J43" s="3" t="n">
        <v>3.7</v>
      </c>
      <c r="K43" s="3" t="n">
        <v>260</v>
      </c>
      <c r="L43" s="3" t="n">
        <v>1.64</v>
      </c>
      <c r="M43" s="3" t="n">
        <v>4.18</v>
      </c>
      <c r="N43" s="5" t="s">
        <v>647</v>
      </c>
    </row>
    <row r="44" customFormat="false" ht="15" hidden="false" customHeight="false" outlineLevel="0" collapsed="false">
      <c r="A44" s="4" t="s">
        <v>348</v>
      </c>
      <c r="B44" s="4" t="s">
        <v>648</v>
      </c>
      <c r="C44" s="4" t="n">
        <v>130.5</v>
      </c>
      <c r="D44" s="4" t="n">
        <v>8.4</v>
      </c>
      <c r="E44" s="4" t="n">
        <v>210.4</v>
      </c>
      <c r="F44" s="4" t="n">
        <v>67.2</v>
      </c>
      <c r="G44" s="4" t="n">
        <v>83.7</v>
      </c>
      <c r="H44" s="4" t="n">
        <v>296.5</v>
      </c>
      <c r="I44" s="4" t="n">
        <v>13.5</v>
      </c>
      <c r="J44" s="4" t="n">
        <v>5.8</v>
      </c>
      <c r="K44" s="4" t="n">
        <v>222</v>
      </c>
      <c r="L44" s="4" t="n">
        <v>1.58</v>
      </c>
      <c r="M44" s="4" t="n">
        <v>4.28</v>
      </c>
      <c r="N44" s="5" t="s">
        <v>607</v>
      </c>
    </row>
    <row r="45" customFormat="false" ht="15" hidden="false" customHeight="false" outlineLevel="0" collapsed="false">
      <c r="A45" s="3" t="s">
        <v>356</v>
      </c>
      <c r="B45" s="3" t="s">
        <v>649</v>
      </c>
      <c r="C45" s="3" t="n">
        <v>123.7</v>
      </c>
      <c r="D45" s="3" t="n">
        <v>9.4</v>
      </c>
      <c r="E45" s="3" t="n">
        <v>198.3</v>
      </c>
      <c r="F45" s="3" t="n">
        <v>170.1</v>
      </c>
      <c r="G45" s="3" t="n">
        <v>52.6</v>
      </c>
      <c r="H45" s="3" t="n">
        <v>70.1</v>
      </c>
      <c r="I45" s="3" t="n">
        <v>17.2</v>
      </c>
      <c r="J45" s="3" t="n">
        <v>10.5</v>
      </c>
      <c r="K45" s="3" t="n">
        <v>198</v>
      </c>
      <c r="L45" s="3" t="n">
        <v>1.41</v>
      </c>
      <c r="M45" s="3" t="n">
        <v>2.11</v>
      </c>
      <c r="N45" s="5" t="s">
        <v>607</v>
      </c>
    </row>
    <row r="46" customFormat="false" ht="15" hidden="false" customHeight="false" outlineLevel="0" collapsed="false">
      <c r="A46" s="4" t="s">
        <v>363</v>
      </c>
      <c r="B46" s="4" t="s">
        <v>650</v>
      </c>
      <c r="C46" s="4" t="n">
        <v>145</v>
      </c>
      <c r="D46" s="4" t="n">
        <v>8.5</v>
      </c>
      <c r="E46" s="4" t="n">
        <v>168.9</v>
      </c>
      <c r="F46" s="4" t="n">
        <v>60.4</v>
      </c>
      <c r="G46" s="4" t="n">
        <v>31.4</v>
      </c>
      <c r="H46" s="4" t="n">
        <v>124.6</v>
      </c>
      <c r="I46" s="4" t="n">
        <v>15.1</v>
      </c>
      <c r="J46" s="4" t="n">
        <v>7.9</v>
      </c>
      <c r="K46" s="4" t="n">
        <v>402</v>
      </c>
      <c r="L46" s="4" t="n">
        <v>1.03</v>
      </c>
      <c r="M46" s="4" t="n">
        <v>1.49</v>
      </c>
      <c r="N46" s="5" t="s">
        <v>607</v>
      </c>
    </row>
    <row r="47" customFormat="false" ht="15" hidden="false" customHeight="false" outlineLevel="0" collapsed="false">
      <c r="A47" s="3" t="s">
        <v>371</v>
      </c>
      <c r="B47" s="3" t="s">
        <v>651</v>
      </c>
      <c r="C47" s="3" t="n">
        <v>110</v>
      </c>
      <c r="D47" s="3" t="n">
        <v>9.7</v>
      </c>
      <c r="E47" s="3" t="n">
        <v>234.3</v>
      </c>
      <c r="F47" s="3" t="n">
        <v>73.5</v>
      </c>
      <c r="G47" s="3" t="n">
        <v>78.6</v>
      </c>
      <c r="H47" s="3" t="n">
        <v>154.8</v>
      </c>
      <c r="I47" s="3" t="n">
        <v>15.7</v>
      </c>
      <c r="J47" s="3" t="n">
        <v>10.6</v>
      </c>
      <c r="K47" s="3" t="n">
        <v>138</v>
      </c>
      <c r="L47" s="3" t="n">
        <v>0.84</v>
      </c>
      <c r="M47" s="3" t="n">
        <v>0.65</v>
      </c>
      <c r="N47" s="5" t="s">
        <v>607</v>
      </c>
    </row>
    <row r="48" customFormat="false" ht="15" hidden="false" customHeight="false" outlineLevel="0" collapsed="false">
      <c r="A48" s="4" t="s">
        <v>379</v>
      </c>
      <c r="B48" s="4" t="s">
        <v>652</v>
      </c>
      <c r="C48" s="4" t="n">
        <v>154.5</v>
      </c>
      <c r="D48" s="4" t="n">
        <v>8.4</v>
      </c>
      <c r="E48" s="4" t="n">
        <v>146.3</v>
      </c>
      <c r="F48" s="4" t="n">
        <v>148.9</v>
      </c>
      <c r="G48" s="4" t="n">
        <v>54.1</v>
      </c>
      <c r="H48" s="4" t="n">
        <v>108.6</v>
      </c>
      <c r="I48" s="4" t="n">
        <v>11.6</v>
      </c>
      <c r="J48" s="4" t="n">
        <v>10.4</v>
      </c>
      <c r="K48" s="4" t="n">
        <v>158</v>
      </c>
      <c r="L48" s="4" t="n">
        <v>0.7</v>
      </c>
      <c r="M48" s="4" t="n">
        <v>5.47</v>
      </c>
      <c r="N48" s="5" t="s">
        <v>607</v>
      </c>
    </row>
    <row r="49" customFormat="false" ht="15" hidden="false" customHeight="false" outlineLevel="0" collapsed="false">
      <c r="A49" s="3" t="s">
        <v>386</v>
      </c>
      <c r="B49" s="3" t="s">
        <v>653</v>
      </c>
      <c r="C49" s="3" t="n">
        <v>116</v>
      </c>
      <c r="D49" s="3" t="n">
        <v>7.8</v>
      </c>
      <c r="E49" s="3" t="n">
        <v>227.4</v>
      </c>
      <c r="F49" s="3" t="n">
        <v>98.5</v>
      </c>
      <c r="G49" s="3" t="n">
        <v>48.1</v>
      </c>
      <c r="H49" s="3" t="n">
        <v>85.8</v>
      </c>
      <c r="I49" s="3" t="n">
        <v>15</v>
      </c>
      <c r="J49" s="3" t="n">
        <v>5.3</v>
      </c>
      <c r="K49" s="3" t="n">
        <v>283</v>
      </c>
      <c r="L49" s="3" t="n">
        <v>0.89</v>
      </c>
      <c r="M49" s="3" t="n">
        <v>3.19</v>
      </c>
      <c r="N49" s="5" t="s">
        <v>607</v>
      </c>
    </row>
    <row r="50" customFormat="false" ht="15" hidden="false" customHeight="false" outlineLevel="0" collapsed="false">
      <c r="A50" s="4" t="s">
        <v>392</v>
      </c>
      <c r="B50" s="4" t="s">
        <v>654</v>
      </c>
      <c r="C50" s="4" t="n">
        <v>158.4</v>
      </c>
      <c r="D50" s="4" t="n">
        <v>6.8</v>
      </c>
      <c r="E50" s="4" t="n">
        <v>204.4</v>
      </c>
      <c r="F50" s="4" t="n">
        <v>176.7</v>
      </c>
      <c r="G50" s="4" t="n">
        <v>86.5</v>
      </c>
      <c r="H50" s="4" t="n">
        <v>217.8</v>
      </c>
      <c r="I50" s="4" t="n">
        <v>15.9</v>
      </c>
      <c r="J50" s="4" t="n">
        <v>6</v>
      </c>
      <c r="K50" s="4" t="n">
        <v>343</v>
      </c>
      <c r="L50" s="4" t="n">
        <v>1.07</v>
      </c>
      <c r="M50" s="4" t="n">
        <v>1.86</v>
      </c>
      <c r="N50" s="5" t="s">
        <v>607</v>
      </c>
    </row>
    <row r="51" customFormat="false" ht="15" hidden="false" customHeight="false" outlineLevel="0" collapsed="false">
      <c r="A51" s="3" t="s">
        <v>398</v>
      </c>
      <c r="B51" s="3" t="s">
        <v>655</v>
      </c>
      <c r="C51" s="3" t="n">
        <v>105.3</v>
      </c>
      <c r="D51" s="3" t="n">
        <v>5.7</v>
      </c>
      <c r="E51" s="3" t="n">
        <v>251.5</v>
      </c>
      <c r="F51" s="3" t="n">
        <v>77.3</v>
      </c>
      <c r="G51" s="3" t="n">
        <v>57.8</v>
      </c>
      <c r="H51" s="3" t="n">
        <v>64.4</v>
      </c>
      <c r="I51" s="3" t="n">
        <v>13.1</v>
      </c>
      <c r="J51" s="3" t="n">
        <v>6.8</v>
      </c>
      <c r="K51" s="3" t="n">
        <v>401</v>
      </c>
      <c r="L51" s="3" t="n">
        <v>0.69</v>
      </c>
      <c r="M51" s="3" t="n">
        <v>1.56</v>
      </c>
      <c r="N51" s="5" t="s">
        <v>607</v>
      </c>
    </row>
    <row r="52" customFormat="false" ht="15" hidden="false" customHeight="false" outlineLevel="0" collapsed="false">
      <c r="A52" s="4" t="s">
        <v>405</v>
      </c>
      <c r="B52" s="4" t="s">
        <v>656</v>
      </c>
      <c r="C52" s="4" t="n">
        <v>82.9</v>
      </c>
      <c r="D52" s="4" t="n">
        <v>7</v>
      </c>
      <c r="E52" s="4" t="n">
        <v>188.2</v>
      </c>
      <c r="F52" s="4" t="n">
        <v>124.3</v>
      </c>
      <c r="G52" s="4" t="n">
        <v>79.8</v>
      </c>
      <c r="H52" s="4" t="n">
        <v>62.9</v>
      </c>
      <c r="I52" s="4" t="n">
        <v>12.8</v>
      </c>
      <c r="J52" s="4" t="n">
        <v>8.3</v>
      </c>
      <c r="K52" s="4" t="n">
        <v>150</v>
      </c>
      <c r="L52" s="4" t="n">
        <v>1.72</v>
      </c>
      <c r="M52" s="4" t="n">
        <v>1.28</v>
      </c>
      <c r="N52" s="5" t="s">
        <v>607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2"/>
  </cols>
  <sheetData>
    <row r="1" customFormat="false" ht="31.5" hidden="false" customHeight="true" outlineLevel="0" collapsed="false">
      <c r="A1" s="8" t="s">
        <v>657</v>
      </c>
      <c r="B1" s="8"/>
      <c r="C1" s="8"/>
      <c r="D1" s="8"/>
      <c r="E1" s="8"/>
      <c r="F1" s="8"/>
    </row>
    <row r="3" customFormat="false" ht="15" hidden="false" customHeight="false" outlineLevel="0" collapsed="false">
      <c r="A3" s="9" t="s">
        <v>658</v>
      </c>
      <c r="B3" s="10" t="s">
        <v>659</v>
      </c>
      <c r="C3" s="11" t="s">
        <v>660</v>
      </c>
      <c r="D3" s="10" t="s">
        <v>661</v>
      </c>
      <c r="E3" s="12" t="s">
        <v>662</v>
      </c>
      <c r="F3" s="13" t="s">
        <v>663</v>
      </c>
    </row>
    <row r="4" customFormat="false" ht="19.7" hidden="false" customHeight="false" outlineLevel="0" collapsed="false">
      <c r="A4" s="14" t="n">
        <f aca="false">COUNTA('Patient Demographics'!A3:A52)</f>
        <v>50</v>
      </c>
      <c r="B4" s="14" t="n">
        <f aca="false">COUNTA('Medical Records'!C3:C52)</f>
        <v>50</v>
      </c>
      <c r="C4" s="14" t="n">
        <f aca="false">ROUND(AVERAGE('Patient Demographics'!E3:E52),1)</f>
        <v>51.1</v>
      </c>
      <c r="D4" s="14" t="n">
        <f aca="false">ROUND(AVERAGE('Medical Records'!J3:J52),1)</f>
        <v>27.6</v>
      </c>
      <c r="E4" s="14" t="n">
        <f aca="false">COUNTIF('Lab Results'!N3:N52,"Abnormal High")+COUNTIF('Lab Results'!N3:N52,"Abnormal Low")</f>
        <v>44</v>
      </c>
      <c r="F4" s="14" t="n">
        <f aca="false">COUNTIF('Lab Results'!N3:N52,"Borderline")</f>
        <v>5</v>
      </c>
    </row>
    <row r="7" customFormat="false" ht="15" hidden="false" customHeight="false" outlineLevel="0" collapsed="false">
      <c r="A7" s="15" t="s">
        <v>664</v>
      </c>
      <c r="B7" s="15"/>
      <c r="C7" s="15"/>
    </row>
    <row r="8" customFormat="false" ht="15" hidden="false" customHeight="false" outlineLevel="0" collapsed="false">
      <c r="A8" s="16" t="s">
        <v>18</v>
      </c>
      <c r="B8" s="17" t="n">
        <f aca="false">COUNTIF('Patient Demographics'!F3:F52,"Male")</f>
        <v>25</v>
      </c>
    </row>
    <row r="9" customFormat="false" ht="15" hidden="false" customHeight="false" outlineLevel="0" collapsed="false">
      <c r="A9" s="16" t="s">
        <v>41</v>
      </c>
      <c r="B9" s="17" t="n">
        <f aca="false">COUNTIF('Patient Demographics'!F3:F52,"Female")</f>
        <v>25</v>
      </c>
    </row>
    <row r="11" customFormat="false" ht="15" hidden="false" customHeight="false" outlineLevel="0" collapsed="false">
      <c r="A11" s="15" t="s">
        <v>665</v>
      </c>
      <c r="B11" s="15"/>
      <c r="C11" s="15"/>
    </row>
    <row r="12" customFormat="false" ht="15" hidden="false" customHeight="false" outlineLevel="0" collapsed="false">
      <c r="A12" s="17" t="s">
        <v>42</v>
      </c>
      <c r="B12" s="17" t="n">
        <f aca="false">COUNTIF('Patient Demographics'!G3:G52,"A+")</f>
        <v>7</v>
      </c>
    </row>
    <row r="13" customFormat="false" ht="15" hidden="false" customHeight="false" outlineLevel="0" collapsed="false">
      <c r="A13" s="17" t="s">
        <v>19</v>
      </c>
      <c r="B13" s="17" t="n">
        <f aca="false">COUNTIF('Patient Demographics'!G3:G52,"A-")</f>
        <v>9</v>
      </c>
    </row>
    <row r="14" customFormat="false" ht="15" hidden="false" customHeight="false" outlineLevel="0" collapsed="false">
      <c r="A14" s="17" t="s">
        <v>72</v>
      </c>
      <c r="B14" s="17" t="n">
        <f aca="false">COUNTIF('Patient Demographics'!G3:G52,"B+")</f>
        <v>7</v>
      </c>
    </row>
    <row r="15" customFormat="false" ht="15" hidden="false" customHeight="false" outlineLevel="0" collapsed="false">
      <c r="A15" s="17" t="s">
        <v>121</v>
      </c>
      <c r="B15" s="17" t="n">
        <f aca="false">COUNTIF('Patient Demographics'!G3:G52,"B-")</f>
        <v>4</v>
      </c>
    </row>
    <row r="16" customFormat="false" ht="15" hidden="false" customHeight="false" outlineLevel="0" collapsed="false">
      <c r="A16" s="17" t="s">
        <v>30</v>
      </c>
      <c r="B16" s="17" t="n">
        <f aca="false">COUNTIF('Patient Demographics'!G3:G52,"AB+")</f>
        <v>7</v>
      </c>
    </row>
    <row r="17" customFormat="false" ht="15" hidden="false" customHeight="false" outlineLevel="0" collapsed="false">
      <c r="A17" s="17" t="s">
        <v>103</v>
      </c>
      <c r="B17" s="17" t="n">
        <f aca="false">COUNTIF('Patient Demographics'!G3:G52,"AB-")</f>
        <v>6</v>
      </c>
    </row>
    <row r="18" customFormat="false" ht="15" hidden="false" customHeight="false" outlineLevel="0" collapsed="false">
      <c r="A18" s="17" t="s">
        <v>83</v>
      </c>
      <c r="B18" s="17" t="n">
        <f aca="false">COUNTIF('Patient Demographics'!G3:G52,"O+")</f>
        <v>6</v>
      </c>
    </row>
    <row r="19" customFormat="false" ht="15" hidden="false" customHeight="false" outlineLevel="0" collapsed="false">
      <c r="A19" s="17" t="s">
        <v>129</v>
      </c>
      <c r="B19" s="17" t="n">
        <f aca="false">COUNTIF('Patient Demographics'!G3:G52,"O-")</f>
        <v>4</v>
      </c>
    </row>
    <row r="22" customFormat="false" ht="15" hidden="false" customHeight="false" outlineLevel="0" collapsed="false">
      <c r="A22" s="18" t="s">
        <v>666</v>
      </c>
      <c r="B22" s="18"/>
      <c r="C22" s="18"/>
      <c r="D22" s="18"/>
      <c r="E22" s="18"/>
      <c r="F22" s="18"/>
    </row>
  </sheetData>
  <mergeCells count="4">
    <mergeCell ref="A1:F1"/>
    <mergeCell ref="A7:C7"/>
    <mergeCell ref="A11:C11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2026-05-09T17:14:05Z</dcterms:created>
  <dc:creator>openpyxl</dc:creator>
  <dc:description/>
  <dc:language>en-US</dc:language>
  <cp:lastModifiedBy/>
  <dcterms:modified xsi:type="dcterms:W3CDTF">2026-05-09T17:14:06Z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